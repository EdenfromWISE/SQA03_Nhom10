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Test Case" sheetId="1" r:id="rId5"/>
    <sheet state="visible" name="Prompt" sheetId="2" r:id="rId6"/>
    <sheet state="visible" name="REG-ST" sheetId="3" r:id="rId7"/>
    <sheet state="visible" name="LOG-ST" sheetId="4" r:id="rId8"/>
    <sheet state="visible" name="PRO-ST" sheetId="5" r:id="rId9"/>
    <sheet state="visible" name="PWD-ST" sheetId="6" r:id="rId10"/>
    <sheet state="visible" name="UM-ST" sheetId="7" r:id="rId11"/>
    <sheet state="hidden" name="Kết luận chung" sheetId="8" r:id="rId12"/>
    <sheet state="visible" name="USER-SRCH" sheetId="9" r:id="rId13"/>
    <sheet state="visible" name="ADMIN-SRCH" sheetId="10" r:id="rId14"/>
    <sheet state="visible" name="ADMIN-CRUD" sheetId="11" r:id="rId15"/>
    <sheet state="visible" name="ADMIN-EXP" sheetId="12" r:id="rId16"/>
    <sheet state="visible" name="ADMIN-IMP" sheetId="13" r:id="rId17"/>
    <sheet state="visible" name="USER-FC" sheetId="14" r:id="rId18"/>
    <sheet state="visible" name="CMN-ST" sheetId="15" r:id="rId19"/>
    <sheet state="visible" name="EXM-ST" sheetId="16" r:id="rId20"/>
    <sheet state="visible" name="PRC-ST" sheetId="17" r:id="rId21"/>
    <sheet state="visible" name="FLC-ST" sheetId="18" r:id="rId22"/>
    <sheet state="visible" name="CB-ST" sheetId="19" r:id="rId23"/>
    <sheet state="hidden" name="Backup of ND học - Hoàng" sheetId="20" r:id="rId24"/>
    <sheet state="visible" name="SRS-ST" sheetId="21" r:id="rId25"/>
    <sheet state="visible" name="STK-ST" sheetId="22" r:id="rId26"/>
    <sheet state="visible" name="PG-ST" sheetId="23" r:id="rId27"/>
    <sheet state="visible" name="RV-ST" sheetId="24" r:id="rId28"/>
    <sheet state="visible" name="SEC-ST" sheetId="25" r:id="rId29"/>
  </sheets>
  <definedNames/>
  <calcPr/>
</workbook>
</file>

<file path=xl/sharedStrings.xml><?xml version="1.0" encoding="utf-8"?>
<sst xmlns="http://schemas.openxmlformats.org/spreadsheetml/2006/main" count="2963" uniqueCount="1615">
  <si>
    <t>Tên dự án</t>
  </si>
  <si>
    <t>Hệ thống học từ vựng tiếng Anh thông minh</t>
  </si>
  <si>
    <t>Tổng số lượng</t>
  </si>
  <si>
    <t>Phân tích kết quả</t>
  </si>
  <si>
    <t>Tested</t>
  </si>
  <si>
    <t>Kết quả kiểm thử cho thấy sự phân hóa rõ rệt về độ ổn định giữa các nhóm chức năng:
Nhóm chức năng ổn định (Tỷ lệ Pass cao):
Các nhóm này có độ tin cậy tốt và ít phát sinh lỗi nghiêm trọng:
Trang Admin, Màn Thống kê, Tiến độ &amp; Streak: Đạt tỷ lệ 100% PASS, hoạt động hoàn toàn ổn định theo thiết kế.
Tìm kiếm từ vựng - Admin: Đạt 88.9% PASS (8/9 case).
Tương tác Chatbot: Đạt 86.2% PASS (25/29 case), đây là một kết quả tích cực cho một chức năng phức tạp.
Quản lý từ &amp; Xuất từ: Đạt tỷ lệ trên 80% PASS.
Nhóm chức năng nhiều lỗi (Tỷ lệ Fail cao):
Đây là các khu vực trọng yếu cần tập trung sửa lỗi (Bug fixing) ngay lập tức:
Thay đổi mật khẩu: Tỷ lệ lỗi cao nhất với 88.9% FAIL (chỉ 1/9 case pass).
Xem hồ sơ cá nhân: Tỷ lệ lỗi 80.0% FAIL (8/10 case fail).
Học Flashcard: Ghi nhận số lượng lỗi tuyệt đối lớn nhất với 23 lỗi (69.7% FAIL).
Tìm kiếm từ vựng (Người dùng): Tỷ lệ lỗi 69.2% FAIL.
Đăng nhập &amp; Đăng ký người dùng: Cả hai đều có tỷ lệ lỗi trên 60%, ảnh hưởng trực tiếp đến trải nghiệm tiếp cận hệ thống của người dùng mới.
3. Kết luận và Kiến nghị
Ưu tiên: Cần tập trung nguồn lực để khắc phục các lỗi trong nhóm Quản lý tài khoản (Đăng ký, Đăng nhập, Đổi mật khẩu, Hồ sơ) vì đây là các tính năng cơ bản nhưng đang có tỷ lệ lỗi rất cao.
Kiểm tra lại logic: Chức năng Học Flashcard và Tìm kiếm từ vựng cần được rà soát lại logic nghiệp vụ do số lượng lỗi phát sinh lớn.
Hoàn tất kiểm thử: Sớm thực hiện 19 kịch bản còn tồn đọng (Pending) để có cái nhìn toàn diện nhất về hệ thống.</t>
  </si>
  <si>
    <t>Pending</t>
  </si>
  <si>
    <t>PASS</t>
  </si>
  <si>
    <t>FAIL</t>
  </si>
  <si>
    <t>ERROR</t>
  </si>
  <si>
    <t>Đánh giá chung</t>
  </si>
  <si>
    <t>Hệ thống đã trải qua một quá trình kiểm thử diện rộng với các chỉ số chính như sau:
Tỷ lệ hoàn thành: 93.5% (Đã kiểm thử 274 trên tổng số 293 kịch bản). Hiện còn 19 kịch bản đang ở trạng thái Chờ (Pending).
Tỷ lệ Pass/Fail (trên số lượng đã test):
PASS: 53.3% (146 kịch bản vượt qua).
FAIL: 46.7% (128 kịch bản thất bại).
Tổng số lỗi ghi nhận: 126 lỗi phát sinh từ các kịch bản Fail.
Nhìn chung, tỷ lệ lỗi hiện tại khá cao (gần một nửa số kịch bản kiểm thử bị lỗi), cho thấy hệ thống cần được tối ưu và sửa lỗi đáng kể trước khi vận hành chính thức.</t>
  </si>
  <si>
    <t>Mã trường hợp kiểm thử</t>
  </si>
  <si>
    <t>Tên trường hợp</t>
  </si>
  <si>
    <t>Mục đích kiểm thử</t>
  </si>
  <si>
    <t>Error Count</t>
  </si>
  <si>
    <t>USER-SRCH</t>
  </si>
  <si>
    <t>Tìm kiếm từ vựng</t>
  </si>
  <si>
    <t>Kiểm tra khả năng hoạt động của chức năng tìm kiếm từ vựng của người dùng</t>
  </si>
  <si>
    <t>ADMIN-SRCH</t>
  </si>
  <si>
    <t>Tìm kiếm từ vựng - Admin</t>
  </si>
  <si>
    <t>Kiểm tra khả năng hoạt động của chức năng tìm kiếm từ vựng của người dùng, ở giao diện của Admin</t>
  </si>
  <si>
    <t>ADMIN-CRUD</t>
  </si>
  <si>
    <t>Quản lý từ</t>
  </si>
  <si>
    <t>Các chức năng liên quan đến quản lý từ trong giao diện Admin</t>
  </si>
  <si>
    <t>ADMIN-EXP</t>
  </si>
  <si>
    <t xml:space="preserve">Xuất từ </t>
  </si>
  <si>
    <t>Chức năng xuất từ vựng thành file của Admin</t>
  </si>
  <si>
    <t>ADMIN-IMP</t>
  </si>
  <si>
    <t>Nhập từ</t>
  </si>
  <si>
    <t>Chức năng nhập từ vựng từ file ngoài của Admin</t>
  </si>
  <si>
    <t>USER-FC</t>
  </si>
  <si>
    <t>Xem flashcard</t>
  </si>
  <si>
    <t>Chức năng xem từ và UI flashcard ở người dùng</t>
  </si>
  <si>
    <t>CB-ST</t>
  </si>
  <si>
    <t>Tương tác Chatbot</t>
  </si>
  <si>
    <t>Kiểm tra khả năng hoạt động và các luồng tương tác của Chatbot</t>
  </si>
  <si>
    <t>SRS-ST</t>
  </si>
  <si>
    <t>Thuật toán SRS</t>
  </si>
  <si>
    <t>Kiểm tra thuật toán lặp lại ngắt quãng (SRS) và cập nhật lịch ôn tập</t>
  </si>
  <si>
    <t>STK-ST</t>
  </si>
  <si>
    <t>Tiến độ &amp; Streak</t>
  </si>
  <si>
    <t>Kiểm tra tính năng Streak và lịch hoạt động</t>
  </si>
  <si>
    <t>PG-ST</t>
  </si>
  <si>
    <t>Màn Thống kê</t>
  </si>
  <si>
    <t>Kiểm tra hiển thị và dữ liệu trên màn Thống kê</t>
  </si>
  <si>
    <t>RV-ST</t>
  </si>
  <si>
    <t>Phiên ôn tập</t>
  </si>
  <si>
    <t>Kiểm tra luồng làm bài và điều kiện trong phiên ôn tập</t>
  </si>
  <si>
    <t>SEC-ST</t>
  </si>
  <si>
    <t>Bảo mật</t>
  </si>
  <si>
    <t>Kiểm tra bảo mật và phân tách dữ liệu người dùng</t>
  </si>
  <si>
    <t>FLC-ST</t>
  </si>
  <si>
    <t>Học Flashcard</t>
  </si>
  <si>
    <t>Kiểm tra luồng học từ vựng bằng Flashcard và các tính năng liên quan</t>
  </si>
  <si>
    <t>PRC-ST</t>
  </si>
  <si>
    <t>Luyện tập</t>
  </si>
  <si>
    <t>Kiểm tra các chế độ luyện tập và ghi nhận kết quả</t>
  </si>
  <si>
    <t>EXM-ST</t>
  </si>
  <si>
    <t>Bài kiểm tra</t>
  </si>
  <si>
    <t>Kiểm tra luồng làm bài thi, tính điểm và lưu lịch sử</t>
  </si>
  <si>
    <t>CMN-ST</t>
  </si>
  <si>
    <t>Bảo mật &amp; Hiệu năng</t>
  </si>
  <si>
    <t>Kiểm tra phân quyền dữ liệu người dùng và hiệu năng hệ thống</t>
  </si>
  <si>
    <t>REG-ST</t>
  </si>
  <si>
    <t>Đăng ký người dùng</t>
  </si>
  <si>
    <t>LOG-ST</t>
  </si>
  <si>
    <t>Đăng nhập người dùng</t>
  </si>
  <si>
    <t>PRO-ST</t>
  </si>
  <si>
    <t>Xem hồ sơ cá nhân</t>
  </si>
  <si>
    <t>PWD-ST</t>
  </si>
  <si>
    <t>Thay đổi mật khẩu</t>
  </si>
  <si>
    <t>UM-ST</t>
  </si>
  <si>
    <t>Trang Admin</t>
  </si>
  <si>
    <t># Bảng testcase hệ thống — Module Tiến độ &amp; Học lặp lại ngắt quãng (Progress &amp; SRS)</t>
  </si>
  <si>
    <t>## 1. Phạm vi và phương pháp</t>
  </si>
  <si>
    <t>| Khía cạnh | Nội dung |</t>
  </si>
  <si>
    <t>|-----------|----------|</t>
  </si>
  <si>
    <t>| **Loại kiểm thử** | Kiểm thử **hệ thống** (black-box), căn cứ **thiết kế chức năng / đặc tả nghiệp vụ**, không căn cứ cấu trúc mã nguồn hay tên lớp/hàm cụ thể. |</t>
  </si>
  <si>
    <t>| **Đối tượng** | Luồng người dùng: xem tiến độ, streak, lịch ôn tập (SRS), thực hiện phiên ôn tập, xem lịch sử phiên học. |</t>
  </si>
  <si>
    <t>| **Môi trường gợi ý** | Ứng dụng web (frontend + backend đã triển khai); đăng nhập bằng tài khoản người dùng thường. |</t>
  </si>
  <si>
    <t>**Giả định thiết kế nghiệp vụ (SRS / tiến độ)** — dùng làm chuẩn kỳ vọng, không phải mô tả triển khai:</t>
  </si>
  <si>
    <t>- Hệ thống ghi nhận trạng thái học từng từ (đã học, lần ôn tiếp theo, mức độ đúng/sai).</t>
  </si>
  <si>
    <t>- Từ **đến hạn** hoặc **quá hạn** ôn mới được đưa vào **phiên ôn tập theo lịch**; từ chưa đến hạn không bị “ép” ôn trong phiên đó.</t>
  </si>
  <si>
    <t>- Sau khi người dùng hoàn thành phiên học/ôn có chấm điểm từng câu, hệ thống cập nhật lịch ôn và thống kê theo quy tắc spaced repetition đã thiết kế (ôn đúng → khoảng cách ôn tăng; ôn sai → khoảng cách rút ngắn / reset theo thiết kế).</t>
  </si>
  <si>
    <t>- **Streak**: đếm số ngày học liên tiếp (hoặc ngày có hoạt động học hợp lệ); có mốc “chuỗi dài nhất”.</t>
  </si>
  <si>
    <t>- **Thống kê**: hiển thị tổng quan từ đã học, từ mới trong ngày, từ cần ôn, từ đã ôn; biểu đồ theo tuần; danh sách phiên gần đây.</t>
  </si>
  <si>
    <t>**Cột do tester điền sau khi chạy:** *Kết quả kiểm thử*, *Số lỗi*.</t>
  </si>
  <si>
    <t>**Cột *Ghi chú*:** ghi lệch so với thiết kế, defect ID, hoặc điều kiện môi trường.</t>
  </si>
  <si>
    <t>---</t>
  </si>
  <si>
    <t>## 2. Điều hướng chức năng (theo vai trò người dùng)</t>
  </si>
  <si>
    <t>Không bám file nguồn; mô tả theo **màn hình** và **nhãn giao diện** thông dụng:</t>
  </si>
  <si>
    <t>| Mục tiêu | Cách tiếp cận gợi ý |</t>
  </si>
  <si>
    <t>|----------|---------------------|</t>
  </si>
  <si>
    <t>| Xem tiến độ &amp; SRS tổng quan | Đăng nhập → menu / mục **Thống kê** (hoặc tương đương). |</t>
  </si>
  <si>
    <t>| Bắt đầu ôn tập theo lịch | Từ màn **Thống kê**, dùng nút/khối **Ôn tập** / **Ôn tập hôm nay** (hoặc đường dẫn trực tiếp tới màn ôn nếu sản phẩm cho phép). |</t>
  </si>
  <si>
    <t>| Tạo dữ liệu học (để có tiến độ) | Luồng **Học tập** → chọn khóa/chủ đề → **Luyện tập** / học từ → hoàn thành phiên. |</t>
  </si>
  <si>
    <t>| Xem chi tiết một phiên đã học | Từ bảng **phiên học gần đây** trên Thống kê → chọn một dòng. |</t>
  </si>
  <si>
    <t>## 3. Bảng testcase tổng hợp (theo thiết kế)</t>
  </si>
  <si>
    <t>*Trong cột **Các bước thực hiện** và **Kết quả mong muốn**, ký hiệu:*</t>
  </si>
  <si>
    <t>**(H)** = luồng chính thành công; **(T)** = luồng thay thế; **(L)** = lỗi / ngoại lệ; **(B)** = biên.</t>
  </si>
  <si>
    <t>| Mã trường hợp kiểm thử | Mục đích kiểm thử | Phân loại (Positive/Negative) | Các bước thực hiện | Kết quả mong muốn | Dữ liệu đầu vào | Kết quả kiểm thử | Số lỗi | Ghi chú |</t>
  </si>
  <si>
    <t>|------------------------|-------------------|-------------------------------|-------------------|-------------------|-----------------|------------------|--------|---------|</t>
  </si>
  <si>
    <t>| **SRS-ST-01** | Xác nhận sau khi **học từ mới** (luyện tập), hệ thống ghi nhận trạng thái và **lịch ôn** phù hợp thiết kế | Positive | **(H)** Học xong phiên luyện tập có ít nhất một từ mới → mở lại Thống kê / lịch ôn. **(T)** Học nhiều từ trong một phiên. **(L)** Thoát giữa chừng không hoàn thành phiên → kiểm tra không có cập nhật “đã học xong phiên” cho SRS. **(B)** Một từ, một phiên tối thiểu. | **(H)(T)** Từ xuất hiện trong dữ liệu “đã học” / lịch ôn sau này theo quy tắc thiết kế; không mất dữ liệu. **(L)** Không coi như đã hoàn tất cập nhật SRS cho phiên đó. **(B)** Hệ thống vẫn ổn định. | User mới / từ chưa học; user cũ | | | So sánh với đặc tả “khi nào từ được coi là đã học lần đầu”. |</t>
  </si>
  <si>
    <t>| **SRS-ST-02** | **Phiên ôn tập** chỉ gồm từ **đến hạn / quá hạn** theo lịch | Positive | **(H)** Có từ đến hạn và từ chưa đến hạn trong sổ học → bắt đầu ôn tập → quan sát danh sách câu/từ. **(T)** Chỉ có đúng một từ đến hạn. **(L)** Không có từ nào đến hạn. **(B)** Số lượng từ đến hạn rất lớn. | **(H)(T)** Không ôn nhầm từ chưa đến hạn (theo thiết kế). **(L)** Thông báo rõ, không tạo phiên ôn rỗng / không treo giao diện. **(B)** Phiên có giới hạn số từ/câu theo thiết kế (nếu có); người dùng vẫn hiểu được. | Bộ từ hỗn hợp due / not-due; 0 due; nhiều due | | | Ghi rõ giới hạn tối đa từ/phiên trong đặc tả. |</t>
  </si>
  <si>
    <t>| **SRS-ST-03** | Cập nhật lịch SRS khi ôn **đúng** | Positive | **(H)** Ôn từ đến hạn, trả lời đúng → hoàn thành phiên → sau đó kiểm tra lịch ôn / thống kê (hoặc phiên ôn lần sau). **(T)** Đúng liên tiếp nhiều lần trên cùng từ (qua nhiều ngày/phiên theo thiết kế). **(B)** Một câu đúng duy nhất rồi kết thúc phiên. | Khoảng cách ôn **tăng** (hoặc trạng thái “dễ hơn”) đúng quy tắc đã thiết kế; không lỗi dữ liệu. | Từ due; lịch sử ôn đã có | | | Không đo đạc công thức nội bộ — so với bảng quy tắc trong tài liệu thiết kế SRS. |</t>
  </si>
  <si>
    <t>| **SRS-ST-04** | Cập nhật lịch SRS khi ôn **sai** | Negative | **(H)** Trả lời sai → xử lý theo UX (làm lại / câu tiếp theo) → hoàn thành phiên. **(T)** Sai nhiều lần trên cùng từ. **(L)** Mất mạng khi đang gửi câu trả lời. | Sau sai, lịch ôn **thắt chặt** hoặc **reset** theo thiết kế; người dùng thấy phản hồi đúng/sai rõ ràng. **(L)** Thông báo lỗi / cho phép thử lại, không mất trạng thái không nhất quán. | Từ due | | | |</t>
  </si>
  <si>
    <t>| **SRS-ST-05** | Từ **quá hạn** được phản ánh trên **lịch ôn / Thống kê** | Positive | **(H)** Tài khoản có từ quá hạn → màn Thống kê: khối lịch ôn / “cần ôn” hiển thị đúng ngày hoặc gom về “hôm nay” theo thiết kế. **(T)** Cả quá hạn và đúng hạn trong cùng tuần. **(B)** Không có từ quá hạn. | Người dùng nhận biết được ưu tiên ôn; không hiển thị mâu thuẫn (ví dụ vừa “0 từ” vừa có cảnh báo). **(B)** Trạng thái rỗng hợp lý. | Dữ liệu lịch ôn đa dạng | | | |</t>
  </si>
  <si>
    <t>| **STK-ST-01** | **Streak** phản ánh hoạt động học trong ngày | Positive | **(H)** Ngày đầu hoặc ngày chưa học: hoàn thành **một** phiên học hợp lệ → xem streak / lịch hoạt động. **(T)** Hoàn thành **hai** phiên cùng ngày. **(L)** Chỉ mở app không học. **(B)** Hoàn thành phiên sát 0h ngày mới (nếu thiết kế có quy tắc theo múi giờ). | **(H)** Streak hoặc ô lịch ngày cập nhật đúng quy tắc “một ngày có hoạt động”. **(T)** Không tính trùng hai lần cho cùng một ngày nếu thiết kế quy định vậy. **(L)** Không tăng streak ảo. | User mới / có lịch sử | | | Ghi nhận múi giờ theo đặc tả sản phẩm. |</t>
  </si>
  <si>
    <t>| **STK-ST-02** | Streak **liên tiếp nhiều ngày** và **gãy chuỗi** | Negative | **(H)** Ngày 1 học, ngày 2 học → streak tăng. **(T)** Nghỉ 1 ngày (thiết kế cho phép hay không). **(L)** Nghỉ nhiều ngày → streak reset hoặc giảm theo thiết kế. | Khớp tài liệu thiết kế streak; hiển thị số ngày liên tiếp và (nếu có) kỷ lục. | Cần kiểm thử qua nhiều ngày hoặc dữ liệu được chuẩn bị theo kịch bản | | | Thường cần nhiều ngày thật hoặc dữ liệu test được thiết lập sẵn. |</t>
  </si>
  <si>
    <t>| **STK-ST-03** | **Lịch streak theo tháng** (xem tháng khác) | Positive | **(H)** Trên Thống kê, chuyển sang tháng trước/sau. **(T)** Tháng không có hoạt động. **(L)** Tháng/năm không hợp lệ (nếu UI cho nhập). **(B)** Tháng 2 năm nhuận. | Hiển thị đúng số ngày trong tháng; đánh dấu ngày có học đúng với dữ liệu. **(L)** Không crash; thông báo hoặc ràng buộc nhập. | Lịch sử hoạt động nhiều tháng | | | |</t>
  </si>
  <si>
    <t>| **PG-ST-01** | **Tải màn Thống kê** đầy đủ thành phần thiết kế | Negative | **(H)** Đăng nhập → Thống kê → chờ tải. **(T)** User mới chưa có dữ liệu. **(L)** Backend không phản hồi / timeout. **(B)** Dữ liệu cực lớn. | **(H)** Các khối theo thiết kế (tổng quan, streak, lịch ôn, biểu đồ tuần, phiên gần đây) hiển thị hoặc trạng thái “0”/rỗng có giải thích. **(L)** Thông báo lỗi thân thiện, không trắng trang. | User đa dạng | | | Liệt kê trong đặc tả UI các widget bắt buộc. |</t>
  </si>
  <si>
    <t>| **PG-ST-02** | **Thẻ tổng quan** (tổng từ, mới hôm nay, cần ôn, đã ôn) đúng nghĩa nghiệp vụ | Positive | **(H)** So sánh với hành vi thực tế trong ngày (đã học mới / đã ôn). **(T)** Không hoạt động gì trong ngày. **(L)** Một API con lỗi — các thẻ khác vẫn có thể hiển thị hoặc báo lỗi cục bộ theo thiết kế. | Số liệu **không mâu thuẫn** với định nghĩa nghiệp vụ trong tài liệu thiết kế (ví dụ “từ mới hôm nay” vs “đã ôn hôm nay”). | Ngày có/không hoạt động | | | Nếu thiết kế chưa định nghĩa rõ — ghi defect tài liệu. |</t>
  </si>
  <si>
    <t>| **PG-ST-03** | **Biểu đồ học theo tuần** | Positive | **(H)** User có hoạt động các ngày trong tuần. **(T)** Không có hoạt động. **(B)** Hoạt động cùng một ngày nhiều phiên. | Trục thời gian đúng thiết kế (vd. Thứ 2–Chủ nhật); cột phản ánh đúng quy tắc đếm (theo phiên / theo từ — theo đặc tả). | Lịch sử 7 ngày | | | |</t>
  </si>
  <si>
    <t>| **PG-ST-04** | **Danh sách phiên gần đây** và **điều hướng chi tiết** | Positive | **(H)** Có phiên đã hoàn thành → bảng hiển thị loại phiên, thời gian, kết quả → mở chi tiết. **(T)** Phiên ôn / phiên luyện / phiên kiểm tra (nếu có). **(L)** Click khi không có `id` / dữ liệu lỗi. **(B)** Một phiên duy nhất. | Thông tin khớp thiết kế; chi tiết phiên đúng với phiên đã chọn. **(L)** Không điều hướng sai hoặc lỗi 404 im lặng. | Nhiều loại session | | | |</t>
  </si>
  <si>
    <t>| **RV-ST-01** | **Truy cập ôn tập** — xác thực &amp; điều kiện | Negative | **(H)** Đã đăng nhập, có từ due → vào ôn tập. **(T)** Vào từ nút trên Thống kê vs URL trực tiếp. **(L)** Chưa đăng nhập. **(B)** Token hết hạn giữa chừng. | **(H)** Vào được phiên. **(L)** Yêu cầu đăng nhập hoặc thông báo rõ. **(B)** Làm mới phiên đăng nhập hoặc báo lỗi nhất quán. | Token hợp lệ / không | | | |</t>
  </si>
  <si>
    <t>| **RV-ST-02** | **Luồng làm bài** trong phiên ôn | Negative | **(H)** Trả lời → xem kết quả → câu tiếp theo → hoàn thành. **(T)** Các dạng câu khác nhau (trắc nghiệm, nhập, ghép cặp, phát âm nếu có). **(L)** Gửi câu trả lời lỗi mạng. **(B)** Một câu duy nhất trong phiên. | Tiến độ (progress) phản ánh đúng quy trình; hoàn thành có màn kết thúc rõ. **(L)** Cho phép thử lại / không duplicate điểm sai lệch. | Phiên nhiều/ít câu | | | |</t>
  </si>
  <si>
    <t>| **RV-ST-03** | **Thoát giữa chừng** phiên ôn | Positive | **(H)** Bấm quay lại Thống kê khi đang làm dở. **(T)** Đóng tab trình duyệt. **(L)** Quay lại sau — phiên cũ còn hay tạo mới theo thiết kế. | Hành vi đúng đặc tả (lưu / không lưu; có cảnh báo hay không). Không corrupt dữ liệu SRS. | Đang có phiên dở | | | Ghi nhận kỳ vọng sản phẩm rõ ràng. |</t>
  </si>
  <si>
    <t>| **RV-ST-04** | **Hoàn thành phiên** → phản ánh trên Thống kê | Positive | **(H)** Ôn xong → về Thống kê → làm mới. **(T)** Ôn xong nhưng một phần câu bỏ qua (nếu thiết kế cho phép). | Streak / ôn tập / phiên gần đây cập nhật nhất quán với thiết kế. | Phiên hoàn chỉnh | | | |</t>
  </si>
  <si>
    <t>| **SEC-ST-01** | **Bảo mật &amp; phân tách dữ liệu** người dùng (thiết kế) | Negative | **(H)** User A chỉ thấy dữ liệu A. **(T)** Đăng xuất rồi đăng nhập B. **(L)** Truy cập API tiến độ không xác thực (nếu kênh thử được). **(B)** Hai tab hai tài khoản. | Không lộ dữ liệu user khác; phiên đăng nhập tách biệt. **(L)** Từ chối truy cập hoặc dữ liệu rỗng theo chính sách bảo mật đã thiết kế. | ≥2 tài khoản | | | Không yêu cầu trùng khớp từng dòng code — theo policy thiết kế. |</t>
  </si>
  <si>
    <t>| **SYS-ST-01** | **End-to-end** Thống kê → Ôn tập → Thống kê | Positive | **(H)** Ghi nhận số liệu trước → ôn hết phiên → ghi nhận sau. **(T)** Chỉ ôn một phần rồi thoát (nếu cho phép). **(L)** Lỗi khi complete phiên. | Luồng chủ đạo mượt; số liệu sau phản ánh đúng thiết kế. **(L)** Người dùng biết trạng thái (thành công / thất bại). | Từ due | | | |</t>
  </si>
  <si>
    <t>| **UI-ST-01** | **Thẻ tổng quan** hiển thị `...` khi đang load (UI state) | Positive | Mở `Thống kê` khi dữ liệu chưa kịp trả về. | Các thẻ: `Tổng từ đã học`, `Từ mới hôm nay`, `Ôn tập hôm nay`, `Từ đã ôn tập` hiển thị `...` thay vì số liệu sai. | User có dữ liệu hoặc user mới | | | |</t>
  </si>
  <si>
    <t>| **UI-ST-02** | `StreakCalendar` hiển thị loading và disable nút đổi tháng (UI) | Positive | Mở `Thống kê` và quan sát `Chuỗi ngày học` trong lúc `streakLoading=true`. | Hiển thị `Đang tải lịch streak...`; nút `Tháng trước`/`Tháng sau` bị disable. | Điều kiện loading | | | |</t>
  </si>
  <si>
    <t>| **UI-ST-03** | `StreakCalendar` empty state theo tháng (UI) | Positive | Chuẩn bị tháng có `days.length=0` và `!isLoading` → xem `Thống kê`. | Hiển thị `Chưa có dữ liệu streak cho tháng này`. | Tháng không có activity | | | |</t>
  </si>
  <si>
    <t>| **UI-ST-04** | `StreakCalendar` error state (UI) | Negative | Giả lập API `getStreakCalendar` lỗi/timeout → mở `Thống kê`. | Hiển thị nội dung lỗi tại card `Chuỗi ngày học`; không crash UI. | Backend lỗi | | | |</t>
  </si>
  <si>
    <t>| **UI-ST-05** | `UpcomingReview` loading/empty state (UI) | Positive | Mở `Thống kê` và quan sát card `Từ vựng sắp ôn tập`. | Khi loading hiển thị `Đang tải...`; khi rỗng hiển thị `Không có từ vựng cần ôn tập`. | User mới/không due | | | |</t>
  </si>
  <si>
    <t>| **UI-ST-06** | `UpcomingReview` error state (UI) | Negative | Giả lập API `getUpcomingReview` lỗi → mở `Thống kê`. | Hiển thị chuỗi lỗi từ frontend/response tại card `Từ vựng sắp ôn tập`. | Backend lỗi | | | |</t>
  </si>
  <si>
    <t>| **UI-ST-07** | `RecentVocabulary` điều hướng theo click row (UI) | Positive | Mở `Thống kê` → tìm dòng trong bảng `Các phiên học gần đây` có `id` → click. | Điều hướng tới `/session/:id`; chỉ các row có `id` có con trỏ click. | Có session history | | | |</t>
  </si>
  <si>
    <t>| **UI-ST-08** | Legend &amp; giá trị streak hiển thị đúng format (UI) | Positive | Mở `Thống kê` cho user có/không có dữ liệu streak. | Legend có `Đã học` và `Hôm nay`; trường `Đang duy trì`/`Dài nhất` hiện `--` nếu thiếu data. | User có dữ liệu streak / user thiếu | | | |</t>
  </si>
  <si>
    <t>| **UI-ST-09** | `ProgressChart` render tiêu đề biểu đồ (UI) | Positive | Mở `Thống kê` và chờ `ProgressChart` render. | Biểu đồ hiển thị tiêu đề `Tiến trình học tập tuần này` và không bị vỡ layout. | Lịch sử 7 ngày | | | |</t>
  </si>
  <si>
    <t>## 4. Danh sách system test tách riêng theo H/T/L/B</t>
  </si>
  <si>
    <t>Phần này tách từng tình huống H/T/L/B thành **system test độc lập**. Mỗi dòng có thể chạy độc lập và ghi PASS/FAIL riêng.</t>
  </si>
  <si>
    <t>### 4.1 Nhóm SRS-ST-01 — Ghi nhận từ mới sau luyện tập</t>
  </si>
  <si>
    <t>| Mã system test | Loại | Các bước thực hiện | Kết quả mong muốn |</t>
  </si>
  <si>
    <t>|----------------|------|--------------------|-------------------|</t>
  </si>
  <si>
    <t>| SRS-ST-01-H | H | 1) Đăng nhập bằng user có ít nhất 1 từ chưa học. 2) Vào luồng luyện tập và hoàn thành phiên. 3) Mở lại màn Thống kê/lịch ôn. | Từ vừa học được ghi nhận là đã học; dữ liệu lịch ôn ban đầu được tạo theo thiết kế. |</t>
  </si>
  <si>
    <t>| SRS-ST-01-T | T | 1) Đăng nhập user có nhiều từ chưa học. 2) Hoàn thành một phiên luyện tập chứa nhiều từ mới. 3) Mở lại Thống kê/lịch ôn. | Toàn bộ từ trong phiên được cập nhật nhất quán; không thiếu hoặc lệch trạng thái. |</t>
  </si>
  <si>
    <t>| SRS-ST-01-L | L | 1) Bắt đầu phiên luyện tập có từ mới. 2) Thoát giữa chừng trước khi hoàn thành. 3) Vào lại Thống kê/lịch ôn để kiểm tra. | Phiên không bị coi là hoàn thành; không ghi nhận sai dữ liệu SRS (trừ khi đặc tả có autosave từng câu). |</t>
  </si>
  <si>
    <t>| SRS-ST-01-B | B | 1) Chuẩn bị phiên luyện tập chỉ có 1 câu/1 từ. 2) Hoàn thành phiên. 3) Kiểm tra trạng thái trên Thống kê/lịch ôn. | Hệ thống vẫn cập nhật đúng và không lỗi với dữ liệu tối thiểu. |</t>
  </si>
  <si>
    <t>### 4.2 Nhóm SRS-ST-02 — Phạm vi từ trong phiên ôn</t>
  </si>
  <si>
    <t>| SRS-ST-02-H | H | 1) Chuẩn bị dữ liệu có cả từ due và not-due. 2) Bấm bắt đầu ôn tập theo lịch. 3) Quan sát danh sách câu/từ trong phiên. | Chỉ từ due/quá hạn được đưa vào phiên ôn; từ not-due không xuất hiện. |</t>
  </si>
  <si>
    <t>| SRS-ST-02-T | T | 1) Chuẩn bị dữ liệu chỉ có đúng 1 từ due. 2) Bắt đầu ôn tập. 3) Hoàn thành phiên. | Phiên tạo thành công với 1 từ due duy nhất; không lỗi điều hướng/hiển thị. |</t>
  </si>
  <si>
    <t>| SRS-ST-02-L | L | 1) Chuẩn bị user không có từ due. 2) Bấm bắt đầu ôn tập. | Hệ thống thông báo rõ không có từ cần ôn; không tạo phiên rỗng và không treo giao diện. |</t>
  </si>
  <si>
    <t>| SRS-ST-02-B | B | 1) Chuẩn bị số lượng từ due vượt giới hạn phiên theo thiết kế. 2) Bắt đầu ôn tập. 3) Kiểm tra số từ được nạp và thứ tự ưu tiên. | Hệ thống cắt theo giới hạn thiết kế; ưu tiên chọn từ đúng quy tắc (nếu có quy tắc ưu tiên). |</t>
  </si>
  <si>
    <t>### 4.3 Nhóm SRS-ST-03/SRS-ST-04 — Đúng/sai và cập nhật lịch ôn</t>
  </si>
  <si>
    <t>| SRS-ST-03-H | H | 1) Bắt đầu phiên ôn có từ due. 2) Trả lời đúng. 3) Hoàn thành phiên. 4) Kiểm tra lịch ôn kế tiếp. | Khoảng cách ôn tăng hoặc trạng thái nhớ tăng theo bảng quy tắc SRS. |</t>
  </si>
  <si>
    <t>| SRS-ST-04-H | H | 1) Bắt đầu phiên ôn có từ due. 2) Trả lời sai. 3) Hoàn thành phiên. 4) Kiểm tra lịch ôn kế tiếp. | Khoảng cách ôn giảm/reset theo quy tắc SRS đã thiết kế. |</t>
  </si>
  <si>
    <t>| SRS-ST-03-T | T | 1) Chạy phiên có nhiều câu của cùng/chung tập từ. 2) Trả lời đúng một phần, sai một phần. 3) Hoàn thành phiên. | Mỗi từ được cập nhật độc lập đúng theo kết quả trả lời thực tế của từ đó. |</t>
  </si>
  <si>
    <t>| SRS-ST-04-L | L | 1) Trả lời câu hỏi đến bước gửi kết quả. 2) Ngắt mạng trước khi đồng bộ hoàn tất. 3) Kết nối lại và mở lại phiên/thống kê. | Không bị double-submit; trạng thái cuối cùng nhất quán sau khi có mạng trở lại. |</t>
  </si>
  <si>
    <t>| SRS-ST-03-B | B | 1) Chuẩn bị phiên ôn chỉ 1 từ, 1 lần trả lời. 2) Hoàn thành phiên. 3) Kiểm tra lịch ôn. | Cập nhật SRS đầy đủ dù dữ liệu ở mức biên tối thiểu. |</t>
  </si>
  <si>
    <t>### 4.4 Nhóm STK-ST-01/STK-ST-02 — Streak</t>
  </si>
  <si>
    <t>| STK-ST-01-H | H | 1) Đăng nhập vào ngày chưa có hoạt động học. 2) Hoàn thành 1 phiên học hợp lệ. 3) Mở Thống kê/streak. | Ngày hiện tại được đánh dấu có học; streak cập nhật đúng theo quy tắc. |</t>
  </si>
  <si>
    <t>| STK-ST-01-T | T | 1) Trong cùng một ngày, hoàn thành 2 phiên học hợp lệ. 2) Kiểm tra streak và lịch hoạt động. | Streak không tăng trùng vô lý cho cùng một ngày (theo định nghĩa nghiệp vụ). |</t>
  </si>
  <si>
    <t>| STK-ST-02-H | H | 1) Ngày 1 hoàn thành phiên học. 2) Ngày 2 hoàn thành thêm phiên học. 3) Mở Thống kê. | Chuỗi ngày liên tiếp tăng đúng (thường +1) và hiển thị nhất quán. |</t>
  </si>
  <si>
    <t>| STK-ST-02-L | L | 1) Tạo chuỗi streak đang hoạt động. 2) Bỏ học nhiều ngày theo điều kiện gãy chuỗi. 3) Mở Thống kê. | Streak reset/giảm theo đúng quy tắc thiết kế khi chuỗi bị đứt. |</t>
  </si>
  <si>
    <t>| STK-ST-01-B | B | 1) Hoàn thành phiên sát mốc đổi ngày (gần 0h) theo múi giờ hệ thống. 2) Kiểm tra ngày được ghi nhận trong streak. | Hành vi đếm ngày đúng theo đặc tả múi giờ; nếu đặc tả thiếu thì ghi defect tài liệu. |</t>
  </si>
  <si>
    <t>### 4.5 Nhóm PG-ST-01 — Màn Thống kê</t>
  </si>
  <si>
    <t>| PG-ST-01-H | H | 1) Đăng nhập user có dữ liệu học. 2) Mở màn Thống kê và chờ tải xong. 3) Đối chiếu các widget bắt buộc. | Hiển thị đủ các vùng theo thiết kế: tổng quan, streak, lịch ôn, biểu đồ tuần, phiên gần đây. |</t>
  </si>
  <si>
    <t>| PG-ST-01-T | T | 1) Tạo điều kiện chỉ một nguồn dữ liệu con bị lỗi (ví dụ lịch ôn). 2) Mở Thống kê. | Vùng lỗi hiển thị thông báo/placeholder cục bộ; các vùng còn lại vẫn sử dụng được. |</t>
  </si>
  <si>
    <t>| PG-ST-01-L | L | 1) Tạo điều kiện backend không phản hồi hoặc timeout toàn bộ. 2) Mở Thống kê. | Có thông báo lỗi tổng hoặc nút thử lại; không trắng trang và không crash. |</t>
  </si>
  <si>
    <t>| PG-ST-01-T2 | T | 1) Đăng nhập user mới chưa có dữ liệu học. 2) Mở Thống kê. | Hiển thị số 0/empty state hợp lý; không báo lỗi giả. |</t>
  </si>
  <si>
    <t>| PG-ST-01-B | B | 1) Mô phỏng mạng chậm. 2) Mở Thống kê và quan sát trạng thái tải. | Loading rõ ràng, không nhấp nháy dữ liệu sai, và chuyển trạng thái ổn định khi tải xong. |</t>
  </si>
  <si>
    <t>### 4.6 Nhóm RV-ST-02/RV-ST-03 — Phiên ôn tập</t>
  </si>
  <si>
    <t>| RV-ST-02-H | H | 1) Bắt đầu phiên ôn hợp lệ. 2) Trả lời tuần tự đến câu cuối. 3) Hoàn tất phiên. | Hiển thị màn hoàn thành và cho phép quay về Thống kê theo đúng luồng. |</t>
  </si>
  <si>
    <t>| RV-ST-02-T | T | 1) Trong phiên, gặp câu có tương tác đặc biệt (nếu có). 2) Thực hiện theo hướng dẫn hoặc bỏ qua theo thiết kế. | Luồng không bị kẹt; hướng dẫn đủ rõ; quyền truy cập thiết bị (vd mic) được xử lý đúng. |</t>
  </si>
  <si>
    <t>| RV-ST-02-L | L | 1) Tạo tình huống user không thể trả lời trong khi UI không cho bỏ qua. 2) Quan sát hành vi thoát/khôi phục. | Có lối thoát hợp lệ theo thiết kế; không bị kẹt vĩnh viễn trong phiên. |</t>
  </si>
  <si>
    <t>| RV-ST-02-T2 | T | 1) Trả lời sai một câu trong phiên có cơ chế lặp lại. 2) Tiếp tục đến lúc câu đó xuất hiện lại. | UX thể hiện đúng tiến độ; không hiểu nhầm là đã hoàn thành khi còn câu chưa đạt. |</t>
  </si>
  <si>
    <t>| RV-ST-03-H | H | 1) Đang làm dở phiên ôn, bấm quay lại Thống kê. 2) Vào lại luồng ôn tập. | Hành vi lưu/hủy phiên đúng đặc tả; không gây hỏng dữ liệu SRS. |</t>
  </si>
  <si>
    <t>### 4.7 Nhóm SEC-ST-01 — Bảo mật</t>
  </si>
  <si>
    <t>| SEC-ST-01-H | H | 1) Đăng nhập User A trên thiết bị/trình duyệt 1. 2) Đăng nhập User B trên thiết bị/trình duyệt 2. 3) So sánh dữ liệu Thống kê/ôn tập giữa hai user. | Dữ liệu người dùng được tách biệt, không lộ chéo. |</t>
  </si>
  <si>
    <t>| SEC-ST-01-T | T | 1) Đăng nhập vào Thống kê. 2) Để token hết hạn khi đang dùng. 3) Thao tác tiếp trên màn hình. | Hệ thống yêu cầu đăng nhập lại/refresh token theo thiết kế; không lộ dữ liệu user khác. |</t>
  </si>
  <si>
    <t>| SEC-ST-01-L | L | 1) Truy cập trực tiếp URL Thống kê/Ôn khi chưa đăng nhập. 2) (Tùy phạm vi) gọi API tiến độ không xác thực. | Bị từ chối hoặc chuyển hướng đăng nhập đúng chính sách bảo mật đã phê duyệt. |</t>
  </si>
  <si>
    <t>| SEC-ST-01-B | B | 1) Mở hai tab cùng trình duyệt với hai trạng thái phiên khác nhau (đăng xuất/đăng nhập lại). 2) Thao tác xen kẽ ở cả hai tab. | Trạng thái phiên nhất quán, không trộn lẫn danh tính/dữ liệu giữa các tab. |</t>
  </si>
  <si>
    <t>## 5. Phiên bản tài liệu</t>
  </si>
  <si>
    <t>| Phiên bản | Ngày | Thay đổi |</t>
  </si>
  <si>
    <t>|-----------|------|----------|</t>
  </si>
  <si>
    <t>| 2.1 | 2026-04-04 | Tách riêng H/T/L/B thành các mã system test độc lập; bổ sung rõ bước thực hiện và kết quả mong muốn cho từng test ở mục 4. |</t>
  </si>
  <si>
    <t>| 2.0 | — | Chuyển sang **kiểm thử hệ thống theo thiết kế**; bỏ neo mã nguồn; mã testcase đổi sang `*-ST-*`; bổ sung kịch bản H/T/L/B và mục chi tiết §4. |</t>
  </si>
  <si>
    <t>Module</t>
  </si>
  <si>
    <t>Xác thực &amp; Người dùng</t>
  </si>
  <si>
    <t>Người thực hiện</t>
  </si>
  <si>
    <t>Nguyễn Anh Tuấn B22DCCN757</t>
  </si>
  <si>
    <t>Trạng thái: Chưa hoàn thiện và thiếu hụt tính năng nghiêm trọng. Tỷ lệ lỗi (FAIL) rất cao, đặc biệt là ở các tính năng hiện đại (Social Login, Email Verification) và các kịch bản ngoại lệ.
Độ tin cậy: Hệ thống chỉ mới đáp ứng được luồng đăng ký "thuần túy" cơ bản nhất. Các cơ chế bảo mật (độ mạnh mật khẩu, xác thực email) và trải nghiệm người dùng (Progress bar, Social Login) hầu như chưa hoạt động hoặc chưa được cài đặt.
Mức độ rủi ro: Cao. Việc không có xác thực Email (Token) và không bắt buộc mật khẩu mạnh sẽ khiến hệ thống dễ bị tấn công bởi spam bot và tài khoản rác.</t>
  </si>
  <si>
    <t>A. Luồng nghiệp vụ cơ bản (REG-ST-01 -&gt; 07)
Điểm sáng: Các validation cơ bản như bỏ trống trường, sai định dạng email, và kiểm tra độ dài mật khẩu hoạt động tốt (PASS).
Lỗ hổng bảo mật: * Hệ thống không bắt buộc mật khẩu mạnh (thiếu hoa, số, ký tự đặc biệt vẫn cho đăng ký).
Thông báo lỗi khi trùng Email quá chung chung ("Đăng ký thất bại"), điều này gây khó khăn cho người dùng vì họ không biết mình cần đăng nhập hay cần đổi email khác.
Thiếu sót pháp lý: Việc thiếu nút "Đồng ý điều khoản" là một lỗi nghiêm trọng về mặt quy trình vận hành sản phẩm (Compliance).
B. Tính năng nâng cao và Trải nghiệm (REG-ST-08 -&gt; 11)
Trải nghiệm người dùng (UX): Thiếu thanh Progress Bar để gợi ý độ mạnh mật khẩu khiến người dùng mù mờ về tiêu chuẩn an toàn của hệ thống.
Tính năng Social Login: Hoàn toàn chưa có chức năng đăng ký qua Google/Facebook dù đã có trong đặc tả. Đây là một thiếu sót lớn vì Social Login hiện là tiêu chuẩn tối thiểu cho các ứng dụng học tập.
C. Xác thực và Ngoại lệ (REG-ST-12 -&gt; 15)
Xác thực Email: Đây là khu vực thất bại nặng nhất. Ghi chú của bạn cho thấy các case liên quan đến xác thực (Token, hết hạn, lỗi SMTP) đều trả về lỗi "Không có chức năng Đăng ký bằng Google".</t>
  </si>
  <si>
    <t>Pass%</t>
  </si>
  <si>
    <t xml:space="preserve">Phân loại </t>
  </si>
  <si>
    <t>Các bước thực hiện</t>
  </si>
  <si>
    <t>Kết quả mong muốn</t>
  </si>
  <si>
    <t>Dữ liệu đầu vào</t>
  </si>
  <si>
    <t>Kết quả kiểm thử</t>
  </si>
  <si>
    <t>Số lỗi</t>
  </si>
  <si>
    <t>Ghi chú</t>
  </si>
  <si>
    <t>Đăng ký tài khoản</t>
  </si>
  <si>
    <t>REG-ST-01</t>
  </si>
  <si>
    <t>Đăng ký thành công qua Form chuẩn (Luồng chính)</t>
  </si>
  <si>
    <t>Positive</t>
  </si>
  <si>
    <t>1. Truy cập trang Đăng ký.
2. Nhập đầy đủ: Họ tên, Email hợp lệ, Mật khẩu &gt;= 8 ký tự (có hoa, thường, số, ký tự đặc biệt).
3. Nhập Mật khẩu xác nhận khớp.
4. Tick đồng ý điều khoản dịch vụ &amp; chính sách.
5. Bấm "Tạo tài khoản".</t>
  </si>
  <si>
    <t>Hệ thống lưu thông tin, gửi email xác nhận chứa token. Hiển thị thông báo yêu cầu người dùng kiểm tra email.</t>
  </si>
  <si>
    <t>Email: test1@gmail.com
Pass &amp; Xác nhận: Abc@12345
Tick: Đồng ý</t>
  </si>
  <si>
    <t>REG-ST-02</t>
  </si>
  <si>
    <t>Validation: Bỏ trống các trường bắt buộc</t>
  </si>
  <si>
    <t>Negative</t>
  </si>
  <si>
    <t>1. Truy cập trang Đăng ký.
2. Bỏ trống một hoặc toàn bộ các trường (Họ tên, Email, Mật khẩu).
3. Bấm "Tạo tài khoản".</t>
  </si>
  <si>
    <t>Nút submit bị vô hiệu hóa hoặc hệ thống báo lỗi yêu cầu nhập liệu ngay tại các trường bị bỏ trống.</t>
  </si>
  <si>
    <t>Họ tên: [Trống]
Email: [Trống]
Pass: [Trống]</t>
  </si>
  <si>
    <t>REG-ST-03</t>
  </si>
  <si>
    <t>Validation: Chưa đồng ý điều khoản</t>
  </si>
  <si>
    <t>1. Điền đầy đủ thông tin hợp lệ vào các trường.
2. Không tick ô "Đồng ý với điều khoản dịch vụ và chính sách bảo mật".
3. Bấm "Tạo tài khoản".</t>
  </si>
  <si>
    <t>Nút submit bị vô hiệu hóa hoặc báo lỗi yêu cầu phải đồng ý với điều khoản để tiếp tục.</t>
  </si>
  <si>
    <t>Các trường hợp lệ.
Tick: Không</t>
  </si>
  <si>
    <t>Không có nút Đồng ý với điều khoản</t>
  </si>
  <si>
    <t>REG-ST-04</t>
  </si>
  <si>
    <t>Validation: Sai định dạng Email</t>
  </si>
  <si>
    <t>1. Nhập vào trường Email dữ liệu sai định dạng (VD: abc, abc@com).</t>
  </si>
  <si>
    <t>Hệ thống báo lỗi định dạng email không hợp lệ ngay lập tức (real-time validation).</t>
  </si>
  <si>
    <t>Email: abc hoặc abc@com</t>
  </si>
  <si>
    <t>REG-ST-05</t>
  </si>
  <si>
    <t>(Ngoại lệ E1) Đăng ký bằng Email đã tồn tại</t>
  </si>
  <si>
    <t>1. Điền thông tin.
2. Nhập Email đã từng đăng ký trong hệ thống.
3. Bấm "Tạo tài khoản".</t>
  </si>
  <si>
    <t>Báo lỗi: "Email này đã được sử dụng. Vui lòng sử dụng email khác hoặc đăng nhập". Hiển thị kèm link "Quên mật khẩu".</t>
  </si>
  <si>
    <t>Email: daco@gmail.com</t>
  </si>
  <si>
    <t>Thông báo chung chung "Đăng ký thất bại, vui lòng thử lại"</t>
  </si>
  <si>
    <t>REG-ST-06</t>
  </si>
  <si>
    <t>Kiểm tra độ dài mật khẩu</t>
  </si>
  <si>
    <t>1. Nhập Mật khẩu dưới 8 ký tự</t>
  </si>
  <si>
    <t>Báo lỗi: "Mật khẩu phải có ít nhất 8 ký tự, bao gồm chữ hoa, chữ thường và số". Highlight trường mật khẩu và bắt nhập lại.</t>
  </si>
  <si>
    <t>Pass: 123456 hoặc abcdefgh</t>
  </si>
  <si>
    <t>REG-ST-07</t>
  </si>
  <si>
    <t>Mật khẩu không đủ mạnh</t>
  </si>
  <si>
    <t>1. Nhập Mật khẩu thiếu một trong các yếu tố: chữ hoa, chữ thường, số, ký tự đặc biệt.</t>
  </si>
  <si>
    <t>Pass: 12345678</t>
  </si>
  <si>
    <t>Đăng ký thành công, không bắt nhập lại</t>
  </si>
  <si>
    <t>REG-ST-08</t>
  </si>
  <si>
    <t>Hiển thị thanh progress độ mạnh mật khẩu</t>
  </si>
  <si>
    <t>1. Bắt đầu gõ từng ký tự vào trường Mật khẩu (từ dễ đến khó).</t>
  </si>
  <si>
    <t>Thanh progress bar thay đổi màu sắc/độ dài tương ứng với độ mạnh của mật khẩu (real-time).</t>
  </si>
  <si>
    <t>Nhập tuần tự: a -&gt; aB -&gt; aB1 -&gt; aB1@</t>
  </si>
  <si>
    <t>Không có thanh Progress Bar</t>
  </si>
  <si>
    <t>REG-ST-09</t>
  </si>
  <si>
    <t>Validation: Xác nhận mật khẩu không khớp</t>
  </si>
  <si>
    <t>1. Nhập Mật khẩu hợp lệ.
2. Nhập trường "Xác nhận mật khẩu" lệch 1 ký tự so với Mật khẩu ở trên.</t>
  </si>
  <si>
    <t>Hệ thống báo lỗi không khớp ngay thời gian thực, chặn thao tác "Tạo tài khoản".</t>
  </si>
  <si>
    <t>Pass: Abc@12345
Xác nhận: Abc@1234</t>
  </si>
  <si>
    <t>REG-ST-10</t>
  </si>
  <si>
    <t>(Luồng thay thế AF1) Đăng ký bằng Google</t>
  </si>
  <si>
    <t>1. Nhấn "Đăng ký bằng Google".
2. Đăng nhập tài khoản Google và cấp quyền.</t>
  </si>
  <si>
    <t>Hệ thống tự động lấy tên, email từ Google, tự động điền thông tin và chuyển đến bước thiết lập mục tiêu/vào hệ thống.</t>
  </si>
  <si>
    <t>Tài khoản Google hợp lệ</t>
  </si>
  <si>
    <t>Không có chức năng Đăng ký bằng Google</t>
  </si>
  <si>
    <t>REG-ST-11</t>
  </si>
  <si>
    <t>(Luồng thay thế AF2) Đăng ký bằng Facebook</t>
  </si>
  <si>
    <t>1. Nhấn "Đăng ký bằng Facebook".
2. Đăng nhập tài khoản Facebook và cấp quyền.</t>
  </si>
  <si>
    <t>Hệ thống tự động lấy thông tin cơ bản, tự tạo tài khoản và chuyển vào bước tiếp theo như luồng Google.</t>
  </si>
  <si>
    <t>Tài khoản Facebook hợp lệ</t>
  </si>
  <si>
    <t>Không có chức năng Đăng ký bằng Facebook</t>
  </si>
  <si>
    <t>REG-ST-12</t>
  </si>
  <si>
    <t>Xác thực Token kích hoạt (Thành công)</t>
  </si>
  <si>
    <t>1. Người dùng mở hộp thư, tìm email hệ thống gửi.
2. Click vào link xác nhận (trong vòng 24h kể từ khi nhận).</t>
  </si>
  <si>
    <t>Tài khoản chuyển sang trạng thái kích hoạt. Chuyển hướng sang trang đăng nhập với thông báo "Tài khoản đã được kích hoạt thành công".</t>
  </si>
  <si>
    <t>Email hệ thống và Click URL: .../verify?token=valid_token</t>
  </si>
  <si>
    <t>REG-ST-13</t>
  </si>
  <si>
    <t>(Ngoại lệ E4) Token xác nhận hết hạn</t>
  </si>
  <si>
    <t>1. Đăng ký thành công.
2. Đợi qua 24h, click vào link xác nhận trong email.</t>
  </si>
  <si>
    <t>Hệ thống phát hiện token hết hạn, hiển thị trang: "Link xác nhận đã hết hạn". Cung cấp form nhập email để gửi lại link mới.</t>
  </si>
  <si>
    <t>REG-ST-14</t>
  </si>
  <si>
    <t>(Ngoại lệ E3) Lỗi gửi email từ Server</t>
  </si>
  <si>
    <t>1. Giả lập SMTP Server lỗi (mất mạng phía server).
2. Thực hiện đăng ký tài khoản hợp lệ.</t>
  </si>
  <si>
    <t>Tài khoản được lưu với trạng thái pending_verification. Thông báo: "Có lỗi khi gửi email xác nhận. Vui lòng thử lại sau" kèm nút "Gửi lại email xác nhận".</t>
  </si>
  <si>
    <t>Dữ liệu form hợp lệ</t>
  </si>
  <si>
    <t>REG-ST-15</t>
  </si>
  <si>
    <t>(Ngoại lệ E5) Client mất kết nối mạng</t>
  </si>
  <si>
    <t>1. Điền xong form đăng ký.
2. Ngắt kết nối mạng wifi/LAN của máy tính/điện thoại.
3. Bấm "Tạo tài khoản".</t>
  </si>
  <si>
    <t>Hiển thị thông báo lỗi kết nối. Dữ liệu form tự động lưu vào localStorage. Khi có mạng và tải lại trang, dữ liệu cũ vẫn được giữ nguyên.</t>
  </si>
  <si>
    <t>REG-ST-16</t>
  </si>
  <si>
    <t>(Ngoại lệ E6) Người dùng Hủy đăng ký</t>
  </si>
  <si>
    <t>1. Đang nhập dữ liệu giữa chừng vào form.
2. Nhấn nút "Hủy" hoặc tắt/back trình duyệt.</t>
  </si>
  <si>
    <t>Hệ thống không lưu thông tin đã nhập vào DB. User bắt đầu lại từ form trống ở lần truy cập sau.</t>
  </si>
  <si>
    <t>Form nhập dang dở</t>
  </si>
  <si>
    <t>Trạng thái: Mất kiểm soát về logic bảo mật (Security Logic). Tỷ lệ lỗi (FAIL) rất cao (11/16 case), chiếm gần 70%.
Điểm mạnh: Các luồng cơ bản về giao diện (Validation trống, định dạng Email) và quản lý Session/Cookie (Remember me, Logout) hoạt động tốt. Hệ thống đã cấp được JWT token và điều hướng đúng khi dữ liệu chuẩn.
Vấn đề cốt lõi: Hệ thống đang bị "hổng" nghiêm trọng ở tầng Middleware và Backend Validation. Hầu hết các cơ chế bảo vệ tài khoản (khóa khi nhập sai, chặn tài khoản chưa kích hoạt, kiểm tra độ mạnh mật khẩu khi đổi) đều không hoạt động hoặc trả về thông báo lỗi mặc định quá chung chung.
Trải nghiệm người dùng: Rất kém khi có sự cố. Thông báo lỗi "Unable to log in with provided credentials" lặp đi lặp lại cho mọi tình huống (sai pass, mail không tồn tại, tài khoản bị khóa) khiến người dùng không biết mình đang gặp vấn đề gì để khắc phục.</t>
  </si>
  <si>
    <t>A. Cơ chế bảo mật và Kiểm soát truy cập (Security &amp; Access Control)
Quản lý trạng thái tài khoản (LOG-ST-06, 07): Rất tệ. Tài khoản chưa kích hoạt vẫn đăng nhập được bình thường. Điều này vô hiệu hóa hoàn toàn luồng xác thực qua Email đã thiết kế.
Chống tấn công Brute-force (LOG-ST-04, 05): Thất bại. Hệ thống không đếm số lần nhập sai và không khóa tài khoản. Một hacker có thể dùng bot để dò mật khẩu liên tục mà không bị ngăn chặn.
Thông báo lỗi: Việc trả về thông báo chung chung là tốt để bảo mật (tránh lộ email tồn tại), nhưng việc không hiển thị số lần còn lại hoặc lý do tài khoản bị vô hiệu hóa lại gây ức chế cho người dùng thật.
B. Luồng thay thế và Tích hợp (Social Login &amp; Forget Password)
Social Login (LOG-ST-08, 09): Logic đang bị sai nghiêm trọng. Email lạ (chưa đăng ký) nhấn Login Google vẫn vào thẳng Dashboard là một lỗi bảo mật logic cực nặng. Facebook Login thì hoàn toàn chưa được cài đặt.
Quên mật khẩu (LOG-ST-12 -&gt; 14): Luồng này liệt hoàn toàn. Không có email nào được gửi đi, đồng nghĩa với việc nếu người dùng quên mật khẩu, họ sẽ mất tài khoản vĩnh viễn. Ngoài ra, việc cho phép đổi mật khẩu mới trùng với mật khẩu cũ hoặc mật khẩu yếu (LOG-ST-13) là đi ngược lại các tiêu chuẩn an toàn thông tin.
C. Xử lý ngoại lệ kỹ thuật (Technical Exceptions)
Mất kết nối mạng (LOG-ST-11): Hệ thống xử lý sai lỗi. Khi mất mạng, nó lại báo "Sai tài khoản hoặc mật khẩu". Điều này chứng tỏ code đang bắt lỗi (catch error) một cách cẩu thả, gộp tất cả các lỗi kết nối vào lỗi xác thực.</t>
  </si>
  <si>
    <t>Đăng nhập</t>
  </si>
  <si>
    <t>LOG-ST-01</t>
  </si>
  <si>
    <t>Đăng nhập thành công với Email/Password (Luồng chính)</t>
  </si>
  <si>
    <t>1. Truy cập trang chủ, nhấn "Đăng nhập".
2. Nhập Email hợp lệ, hệ thống hiện checkmark xanh.
3. Nhập Password đúng (không tick "Ghi nhớ đăng nhập").
4. Nhấn "Đăng nhập".</t>
  </si>
  <si>
    <t>Đăng nhập thành công, hệ thống cấp JWT token và chuyển hướng đến Student Dashboard (/dashboard). Hoạt động đăng nhập và trạng thái "last login" được ghi nhận vào cơ sở dữ liệu.</t>
  </si>
  <si>
    <t>Email: test1@gmail.com
Pass: Abc@12345</t>
  </si>
  <si>
    <t>LOG-ST-02</t>
  </si>
  <si>
    <t>Validation: Trống thông tin hoặc sai định dạng Email</t>
  </si>
  <si>
    <t>1. Bỏ trống Email/Password hoặc nhập Email sai định dạng (VD: abc@).
2. Nhấn "Đăng nhập".</t>
  </si>
  <si>
    <t>Hệ thống hiển thị thông báo lỗi màu đỏ (validation real-time) ngay dưới trường nhập liệu. Form không được submit.</t>
  </si>
  <si>
    <t>Email: [Trống] hoặc abc@</t>
  </si>
  <si>
    <t>LOG-ST-03</t>
  </si>
  <si>
    <t>(Ngoại lệ E1) Đăng nhập bằng Email không tồn tại</t>
  </si>
  <si>
    <t>1. Nhập Email chưa từng đăng ký.
2. Nhập Mật khẩu bất kỳ.
3. Nhấn "Đăng nhập".</t>
  </si>
  <si>
    <t>Báo lỗi chung chung: "Email hoặc mật khẩu không chính xác".</t>
  </si>
  <si>
    <t>Email: chuaco@gmail.com
Pass: 123456</t>
  </si>
  <si>
    <t>Thông báo chung chung "Unable to log in with provided credentials."</t>
  </si>
  <si>
    <t>LOG-ST-04</t>
  </si>
  <si>
    <t>(Ngoại lệ E2) Nhập sai mật khẩu (Dưới 5 lần)</t>
  </si>
  <si>
    <t>1. Nhập Email đúng nhưng Mật khẩu sai (từ lần 1 đến lần 4).
2. Nhấn "Đăng nhập".</t>
  </si>
  <si>
    <t>Báo lỗi: "Email hoặc mật khẩu không chính xác" và hiển thị số lần đăng nhập sai còn lại. Hệ thống tự động focus vào trường Password, clear nội dung ô nhập và cung cấp link "Quên mật khẩu?".</t>
  </si>
  <si>
    <t>Email: test1@gmail.com
Pass: SaiPass1</t>
  </si>
  <si>
    <t>Thông báo chung chung "Unable to log in with provided credentials.", không hiển thị số lần đăng nhập sai còn lại</t>
  </si>
  <si>
    <t>LOG-ST-05</t>
  </si>
  <si>
    <t>(Ngoại lệ E3) Khóa tài khoản do sai mật khẩu 5 lần</t>
  </si>
  <si>
    <t>1. Cố tình nhập sai mật khẩu 5 lần liên tiếp cho cùng một tài khoản.</t>
  </si>
  <si>
    <t>Tài khoản bị khóa trong 60 phút. Báo lỗi: "Tài khoản đã bị khóa do nhập sai mật khẩu quá nhiều lần...". Hệ thống gửi email cảnh báo và cung cấp nút "Reset mật khẩu" để mở khóa ngay lập tức.</t>
  </si>
  <si>
    <t>Email: test1@gmail.com
Pass: Nhập sai 5 lần</t>
  </si>
  <si>
    <t>Thông báo chung chung "Unable to log in with provided credentials." Tài khoản không bị khóa</t>
  </si>
  <si>
    <t>LOG-ST-06</t>
  </si>
  <si>
    <t>(Ngoại lệ E4) Đăng nhập tài khoản chưa kích hoạt</t>
  </si>
  <si>
    <t>1. Nhập đúng Email và Mật khẩu của một tài khoản đang ở trạng thái pending_verification.
2. Nhấn "Đăng nhập".</t>
  </si>
  <si>
    <t>Báo lỗi: "Tài khoản chưa được kích hoạt. Vui lòng kiểm tra email để xác nhận". Hiển thị kèm nút "Gửi lại email xác nhận".</t>
  </si>
  <si>
    <t>Email: chuakichhoat@gmail.com</t>
  </si>
  <si>
    <t>Đăng nhập bình thường</t>
  </si>
  <si>
    <t>LOG-ST-07</t>
  </si>
  <si>
    <t>(Ngoại lệ E5) Đăng nhập tài khoản bị vô hiệu hóa</t>
  </si>
  <si>
    <t>1. Nhập đúng Email và Mật khẩu của tài khoản đã bị Admin khóa (disabled hoặc banned).
2. Nhấn "Đăng nhập".</t>
  </si>
  <si>
    <t>Báo lỗi: "Tài khoản đã bị vô hiệu hóa. Vui lòng liên hệ admin để biết thêm chi tiết" và cung cấp thông tin liên hệ hỗ trợ.</t>
  </si>
  <si>
    <t>Email: biban@gmail.com</t>
  </si>
  <si>
    <t>LOG-ST-08</t>
  </si>
  <si>
    <t>(Luồng thay thế AF1) Đăng nhập bằng Google</t>
  </si>
  <si>
    <t>1. Nhấn nút "Đăng nhập với Google".
2. Đăng nhập tài khoản mạng xã hội và nhấn "Allow" để cấp quyền.</t>
  </si>
  <si>
    <t>Hệ thống lấy authorization code từ provider để xác thực. Nếu email đã tồn tại, tự động vào Dashboard. Nếu email chưa tồn tại, chuyển hướng sang form Đăng ký (UC01) với các thông tin pre-filled.</t>
  </si>
  <si>
    <t>Tài khoản mạng xã hội</t>
  </si>
  <si>
    <t>Email không có trong hệ thống cũng vào thẳng Dashboard</t>
  </si>
  <si>
    <t>LOG-ST-09</t>
  </si>
  <si>
    <t>(Luồng thay thế AF2) Đăng nhập bằng Facebook</t>
  </si>
  <si>
    <t>1. Nhấn nút "Đăng nhập với Facebook".
2. Đăng nhập tài khoản mạng xã hội và nhấn "Allow" để cấp quyền.</t>
  </si>
  <si>
    <t>Không có chức năng Đăng nhập bằng Facebook</t>
  </si>
  <si>
    <t>LOG-ST-10</t>
  </si>
  <si>
    <t>(Luồng thay thế AF3, AF4) Tính năng "Ghi nhớ đăng nhập"</t>
  </si>
  <si>
    <t>1. Tick chọn "Ghi nhớ đăng nhập" (Remember me).
2. Đăng nhập thành công.
3. Đóng hẳn trình duyệt, sau đó mở lại và truy cập trang chủ.</t>
  </si>
  <si>
    <t>Trạng thái đăng nhập được duy trì. Hệ thống tự động tạo access token mới từ refresh token (thời hạn 30 ngày) và chuyển thẳng người dùng vào Dashboard mà không bắt nhập lại mật khẩu.</t>
  </si>
  <si>
    <t>Tài khoản hợp lệ
Tick: Duy trì đăng nhập</t>
  </si>
  <si>
    <t>LOG-ST-11</t>
  </si>
  <si>
    <t>(Ngoại lệ E6) Mất kết nối Internet khi đang thao tác</t>
  </si>
  <si>
    <t>1. Điền thông tin vào form.
2. Ngắt kết nối mạng Internet của thiết bị.
3. Nhấn "Đăng nhập".</t>
  </si>
  <si>
    <t>Request đăng nhập bị timeout. Hiển thị thông báo: "Mất kết nối internet. Vui lòng kiểm tra kết nối và thử lại". Dữ liệu đã nhập trên form được giữ nguyên và hiển thị nút "Thử lại".</t>
  </si>
  <si>
    <t>Tài khoản hợp lệ</t>
  </si>
  <si>
    <t>Thông báo: "Tài khoản hoặc mật khẩu không đúng"</t>
  </si>
  <si>
    <t>LOG-ST-12</t>
  </si>
  <si>
    <t>(Ngoại lệ E7) Yêu cầu "Quên mật khẩu"</t>
  </si>
  <si>
    <t>1. Nhấn link "Quên mật khẩu?".
2. Nhập email tài khoản cần khôi phục.
3. Nhấn "Gửi link khôi phục".</t>
  </si>
  <si>
    <t>Hệ thống gửi thành công link khôi phục mật khẩu vào hòm thư email của người dùng.</t>
  </si>
  <si>
    <t>Không có email nào được gửi đến</t>
  </si>
  <si>
    <t>LOG-ST-13</t>
  </si>
  <si>
    <t>(Ngoại lệ E7) Đổi mật khẩu mới qua link khôi phục</t>
  </si>
  <si>
    <t>1. Bấm vào link khôi phục trong email.
2. Tại form đổi mật khẩu, nhập mật khẩu mới (có thanh báo độ mạnh: &gt;= 8 ký tự, có hoa/thường/số) và xác nhận khớp.
3. Nhấn "Đổi mật khẩu".</t>
  </si>
  <si>
    <t>Validate xác nhận mật khẩu đủ mạnh và không được trùng với mật khẩu cũ. Hệ thống cập nhật pass mới thành công và điều hướng người dùng về lại trang Đăng nhập.</t>
  </si>
  <si>
    <t>Email khôi phục và URL khôi phục</t>
  </si>
  <si>
    <t>Trùng với mật khẩu cũ vẫn đổi được. Mật khẩu không đủ mạnh cũng đổi được.</t>
  </si>
  <si>
    <t>LOG-ST-14</t>
  </si>
  <si>
    <t>(Ngoại lệ E7) Link khôi phục mật khẩu hết hạn/không hợp lệ</t>
  </si>
  <si>
    <t>1. Bấm vào link khôi phục đã qua thời gian hiệu lực, hoặc cố tình thay đổi token trên URL.</t>
  </si>
  <si>
    <t>Hệ thống từ chối truy cập form đổi mật khẩu. Hiển thị cảnh báo "Link đã hết hạn, vui lòng yêu cầu lại" (nếu token hết hạn) hoặc "Link không hợp lệ" (nếu sai token).</t>
  </si>
  <si>
    <t>LOG-ST-15</t>
  </si>
  <si>
    <t>Trang đổi mật khẩu không còn hạn</t>
  </si>
  <si>
    <t>1. Truy nhập lại trang đổi mật khẩu vừa rồi, đặt lại mật khẩu mới và bấm Cập nhật mật khẩu</t>
  </si>
  <si>
    <t>Hệ thống từ chối đổi mật khẩu, báo lỗi hết hoặc sai token.</t>
  </si>
  <si>
    <t>URL khôi phục</t>
  </si>
  <si>
    <t>LOG-ST-16</t>
  </si>
  <si>
    <t>Xử lý phiên khi đã đăng xuất</t>
  </si>
  <si>
    <t>1) Copy URL trang Dashboard.
2) Đăng xuất.
3) Dán URL lại vào thanh địa chỉ.</t>
  </si>
  <si>
    <t>Bị đá văng (redirect) về trang Đăng nhập do không có session.</t>
  </si>
  <si>
    <t>URL dashboard</t>
  </si>
  <si>
    <t>Trạng thái: Thiếu hụt tính năng và sai lệch giao diện. Tỷ lệ lỗi (FAIL) chiếm 7/10 case (70%).
Độ ổn định: Hệ thống chỉ hoạt động tốt ở các luồng cơ bản như hiển thị placeholder và lưu thông tin họ tên đơn giản. Các tính năng quan trọng về bảo mật thông tin (ẩn email) và tương tác đa phương tiện (tải ảnh đại diện) đang gặp vấn đề lớn.
Mức độ hoàn thiện: Hệ thống hiện tại giống như một bản khung (Skeleton) chưa được đổ đầy đủ logic. Nhiều trường dữ liệu (Số điện thoại, Ngày sinh) và nút chức năng (Thay đổi email) hoàn toàn vắng mặt dù đã có trong đặc tả.</t>
  </si>
  <si>
    <t>A. Hiển thị và Bảo mật thông tin (PRO-ST-01, 02, 04)
Vi phạm bảo mật: Việc không ẩn một phần Email (h***@gmail.com) trên trang cá nhân là một điểm trừ về quyền riêng tư của người dùng.
Thiếu hụt điều hướng: Việc không có nút "Thay đổi email" khiến luồng nghiệp vụ bị tắc nghẽn; người dùng không có cách nào để cập nhật thông tin liên lạc chính nếu trường Email đang để chế độ readonly.
B. Validation và Logic nghiệp vụ (PRO-ST-05 -&gt; 07)
Họ và tên: Xử lý tốt, bắt được các lỗi về độ dài và định dạng ký tự.
Lỗi logic nghiêm trọng (Business Logic): * Hệ thống không chặn người dùng &lt; 13 tuổi. Đây là lỗi nghiêm trọng về tuân thủ quy định bảo vệ trẻ em trên môi trường mạng (COPPA hoặc tương đương).
Trường Số điện thoại hoàn toàn biến mất trong thực tế dù kịch bản kiểm thử yêu cầu, cho thấy sự thiếu đồng bộ giữa code và tài liệu yêu cầu.
C. Quản lý Ảnh đại diện (PRO-ST-08 -&gt; 10)
Xử lý File: Đây là phần yếu nhất của module.
Ảnh đại diện không cập nhật ngay sau khi tải lên thành công (FAIL tại PRO-ST-08) thường do lỗi cache trình duyệt hoặc Server chưa trả về URL ảnh mới.
Thông báo lỗi (Error Messages): Các câu thông báo lỗi (PRO-ST-09, 10) không khớp với đặc tả. Dù hệ thống có bắt lỗi nhưng việc dùng từ ngữ khác biệt cho thấy sự thiếu chỉn chu trong việc đồng nhất trải nghiệm người dùng (UX Writing).</t>
  </si>
  <si>
    <t>PRO-ST-01</t>
  </si>
  <si>
    <t>Xem hồ sơ cá nhân hợp lệ (Luồng chính)</t>
  </si>
  <si>
    <t>1. Đăng nhập thành công và nhấn vào button người dùng trên thanh sidebar.
2. Quan sát trang Profile (/profile).</t>
  </si>
  <si>
    <t>Hiển thị đầy đủ: Ảnh đại diện (200x200px hoặc mặc định), nút "Chỉnh sửa hồ sơ", Họ Tên, Email (bị ẩn một phần dạng h***@gmail.com), và Ngày sinh.</t>
  </si>
  <si>
    <t>N/A (Tài khoản đã cập nhật)</t>
  </si>
  <si>
    <t>Email không ẩn</t>
  </si>
  <si>
    <t>PRO-ST-02</t>
  </si>
  <si>
    <t>(Ngoại lệ E1) Xem hồ sơ khi chưa hoàn thiện thông tin</t>
  </si>
  <si>
    <t>1. Đăng nhập với tài khoản chưa cập nhật đủ thông tin.
2. Truy cập trang Profile.</t>
  </si>
  <si>
    <t>Các trường thông tin còn trống sẽ hiển thị placeholder "Chưa cập nhật".</t>
  </si>
  <si>
    <t>N/A (Tài khoản mới)</t>
  </si>
  <si>
    <t>PRO-ST-03</t>
  </si>
  <si>
    <t>Chỉnh sửa thông tin hồ sơ hợp lệ (Luồng chính)</t>
  </si>
  <si>
    <t>1. Từ trang Profile, nhấn nút "Chỉnh sửa hồ sơ" hoặc icon edit.
2. Trên form (/profile/edit), nhập Họ tên (2-100 ký tự, không chứa số), chọn Ngày sinh (&gt;= 13 tuổi, không trong tương lai), Giới tính, Quốc gia và Số điện thoại hợp lệ.
3. Nhấn "Lưu thay đổi".</t>
  </si>
  <si>
    <t>Form hiển thị checkmark xanh khi nhập đúng. Lưu hoàn thành dưới 3 giây, hiển thị thông báo "Thông tin đã được cập nhật thành công" và quay về trang Profile với dữ liệu mới.</t>
  </si>
  <si>
    <t>Tên: Trần B, NS: 01/01/2000, SĐT: 0901234567</t>
  </si>
  <si>
    <t>Không có SDT</t>
  </si>
  <si>
    <t>PRO-ST-04</t>
  </si>
  <si>
    <t>Trạng thái hiển thị của trường Email</t>
  </si>
  <si>
    <t>1. Truy cập form Chỉnh sửa hồ sơ.
2. Cố gắng nhập liệu trực tiếp vào trường Email.</t>
  </si>
  <si>
    <t>Trường Email bị khóa (readonly), không thể nhập liệu trực tiếp và có hiển thị nút "Thay đổi email" bên cạnh.</t>
  </si>
  <si>
    <t>Gõ phím bất kỳ vào ô Email</t>
  </si>
  <si>
    <t>Không có nút "Thay đổi email"</t>
  </si>
  <si>
    <t>PRO-ST-05</t>
  </si>
  <si>
    <t>Validation: Nhập sai trường Họ và tên</t>
  </si>
  <si>
    <t>1. Tại form chỉnh sửa, nhập Họ tên vi phạm một trong các lỗi: để trống, dưới 2 ký tự, trên 100 ký tự, hoặc chứa chữ số.</t>
  </si>
  <si>
    <t>Validation thời gian thực hiển thị dấu X đỏ và báo lỗi. Chặn thao tác lưu thay đổi.</t>
  </si>
  <si>
    <t>Tên: A, Chuỗi &gt;100 ký tự, hoặc Trần B 123</t>
  </si>
  <si>
    <t>PRO-ST-06</t>
  </si>
  <si>
    <t>Validation: Nhập sai trường Ngày sinh</t>
  </si>
  <si>
    <t>1. Tại form chỉnh sửa, chọn Ngày sinh là một ngày ở tương lai.
2. Chọn Ngày sinh sao cho tuổi &lt; 13.</t>
  </si>
  <si>
    <t>Validation thời gian thực hiển thị dấu X đỏ, báo lỗi và chặn thao tác lưu.</t>
  </si>
  <si>
    <t>Ngày sinh: 01/01/2030 hoặc 01/01/2015</t>
  </si>
  <si>
    <t>Không chặn tuổi &lt;13, không có ngày sinh</t>
  </si>
  <si>
    <t>PRO-ST-07</t>
  </si>
  <si>
    <t>Validation: Nhập sai định dạng Số điện thoại</t>
  </si>
  <si>
    <t>1. Tại form chỉnh sửa, nhập Số điện thoại sai định dạng quốc gia.</t>
  </si>
  <si>
    <t>Hệ thống hiển thị dấu X đỏ và báo lỗi định dạng không hợp lệ.</t>
  </si>
  <si>
    <t>SĐT: 123 hoặc abcde</t>
  </si>
  <si>
    <t>Không có trường sdt</t>
  </si>
  <si>
    <t>PRO-ST-08</t>
  </si>
  <si>
    <t>(Luồng thay thế AF1) Thay đổi ảnh đại diện hợp lệ</t>
  </si>
  <si>
    <t>1. Chọn tab "Ảnh đại diện" trong trang chỉnh sửa và nhấn "Tải ảnh lên".
2. Chọn một file ảnh .jpg, .jpeg hoặc .png có kích thước &lt; 5MB.</t>
  </si>
  <si>
    <t>Hệ thống cập nhật và hiển thị ảnh đại diện mới ngay lập tức.</t>
  </si>
  <si>
    <t>File: avatar.jpg (&lt; 5MB)</t>
  </si>
  <si>
    <t>Không hiển thị ảnh đại diện mới</t>
  </si>
  <si>
    <t>PRO-ST-09</t>
  </si>
  <si>
    <t>(Ngoại lệ E1) Tải ảnh đại diện sai định dạng</t>
  </si>
  <si>
    <t>1. Chọn tab "Ảnh đại diện", nhấn "Tải ảnh lên".
2. Chọn một file không đúng định dạng (VD: .gif, .pdf).</t>
  </si>
  <si>
    <t>Hệ thống từ chối tải lên và hiển thị thông báo lỗi: "Chỉ hỗ trợ JPG, PNG".</t>
  </si>
  <si>
    <t>File: document.pdf</t>
  </si>
  <si>
    <t>Thông báo không khớp: "Vui lòng chọn file ảnh hợp lệ"</t>
  </si>
  <si>
    <t>PRO-ST-10</t>
  </si>
  <si>
    <t>(Ngoại lệ E1) Tải ảnh đại diện vượt quá dung lượng tối đa</t>
  </si>
  <si>
    <t>1. Nhấn "Tải ảnh lên" và chọn một file ảnh đúng định dạng nhưng có dung lượng &gt; 5MB.</t>
  </si>
  <si>
    <t>Hệ thống từ chối tải lên và hiển thị thông báo lỗi: "File ảnh quá lớn. Tối đa 5MB".</t>
  </si>
  <si>
    <t>File: large_img.png (&gt; 5MB)</t>
  </si>
  <si>
    <t>Thông báo không khớp: "Kích thước file không được vượt quá 5MB."</t>
  </si>
  <si>
    <t>Trạng thái: Ngừng trệ (Stagnant). Đây là module có kết quả tệ nhất trong các phần đã kiểm thử với tỉ lệ lỗi lên đến 8/9 case (89%).
Vấn đề cốt lõi: Tính năng "Thay đổi mật khẩu" khi đang đăng nhập thực tế chưa được viết code (vẫn hiện thông báo đang phát triển). Luồng "Khôi phục mật khẩu" qua Email cũng bị liệt hoàn toàn do hệ thống gửi mail không hoạt động.
Mức độ sẵn sàng: 0%. Module này hoàn toàn không thể sử dụng trong môi trường thực tế.</t>
  </si>
  <si>
    <t>A. Thay đổi mật khẩu khi đang đăng nhập (PWD-ST-01, 02)
Đánh giá: Hệ thống trả về thông báo "Tính năng đổi mật khẩu đang phát triển". Điều này cho thấy Front-end đã có giao diện nhưng Back-end chưa có API hoặc chưa được kết nối.
Hệ quả: Người dùng không có cách nào tự bảo vệ tài khoản nếu nghi ngờ bị lộ mật khẩu, buộc phải liên hệ Admin thủ công.
B. Luồng Quên &amp; Khôi phục mật khẩu (PWD-ST-04 -&gt; 07)
Lỗi bảo mật thông tin (Information Leakage): Tại case PWD-ST-04, khi nhập Email không tồn tại, hệ thống vẫn báo "Đã gửi email". Dù đây là một cách để tránh bị dò quét Email (Security by obscurity), nhưng trong ngữ cảnh dự án học tập, nếu không có logic gửi mail thật phía sau thì đây là một bug điều hướng.
Dịch vụ Email (SMTP): Tương tự các module trước, việc không gửi được Email là rào cản lớn nhất. Mọi bước xác thực Token, đổi pass qua link đều bị "chết chùm" vì người dùng không bao giờ nhận được link để thực hiện bước tiếp theo.
C. Validation và Độ an toàn (PWD-ST-08, 09)
Độ mạnh mật khẩu: Hệ thống đang bỏ ngỏ việc kiểm tra tính phức tạp của mật khẩu. Cho phép đặt mật khẩu yếu (123456) hoặc trùng với mật khẩu cũ là một lỗ hổng bảo mật nghiêm trọng.
Điểm sáng duy nhất: Check định dạng Email (Regex) ở Front-end hoạt động tốt (PASS tại PWD-ST-03), giúp giảm bớt các request rác gửi lên Server.</t>
  </si>
  <si>
    <t>PWD-ST-01</t>
  </si>
  <si>
    <t>Thay đổi mật khẩu thành công khi đang đăng nhập (Luồng chính)</t>
  </si>
  <si>
    <t>1. Đăng nhập vào hệ thống và truy cập phần cài đặt/hồ sơ để yêu cầu thay đổi mật khẩu.
2. Nhập Mật khẩu cũ chính xác.
3. Nhập Mật khẩu mới đáp ứng đủ độ mạnh (&gt;= 8 ký tự, gồm chữ hoa, thường, số) và nhập lại Xác nhận mật khẩu mới khớp nhau.
4. Nhấn xác nhận/lưu.</t>
  </si>
  <si>
    <t>Hệ thống xác thực token đăng nhập và mật khẩu cũ thành công. Cập nhật mật khẩu mới vào cơ sở dữ liệu và hiển thị thông báo thay đổi mật khẩu thành công.</t>
  </si>
  <si>
    <t>Cũ: OldPass1
Mới &amp; Xác nhận: NewPass@123</t>
  </si>
  <si>
    <t>Thông báo "Tính năng đổi mật khẩu đang phát triển, vui lòng thử lại sau"</t>
  </si>
  <si>
    <t>PWD-ST-02</t>
  </si>
  <si>
    <t>(Ngoại lệ) Thay đổi mật khẩu với mật khẩu cũ không đúng</t>
  </si>
  <si>
    <t>1. Tại giao diện thay đổi mật khẩu, nhập một chuỗi sai vào trường Mật khẩu cũ.
2. Nhập Mật khẩu mới và Xác nhận mật khẩu.
3. Nhấn xác nhận/lưu.</t>
  </si>
  <si>
    <t>Hệ thống kiểm tra mật khẩu cũ thất bại và trả về thông báo lỗi: "Mật khẩu cũ không chính xác". Quá trình đổi mật khẩu bị hủy.</t>
  </si>
  <si>
    <t>Cũ: SaiPass123
Mới: NewPass@123</t>
  </si>
  <si>
    <t>PWD-ST-03</t>
  </si>
  <si>
    <t>Validation: Định dạng Email không hợp lệ khi yêu cầu khôi phục</t>
  </si>
  <si>
    <t>1. Tại giao diện Quên mật khẩu, nhập địa chỉ email sai định dạng (VD: abc@).
2. Bấm "Gửi link khôi phục".</t>
  </si>
  <si>
    <t>Hệ thống kiểm tra định dạng email không hợp lệ và hiển thị thông báo lỗi định dạng ngay tại form, chặn request gửi đi.</t>
  </si>
  <si>
    <t>Email: abc@ hoặc abc</t>
  </si>
  <si>
    <t>PWD-ST-04</t>
  </si>
  <si>
    <t>(Ngoại lệ) Yêu cầu khôi phục với Email không tồn tại</t>
  </si>
  <si>
    <t>1. Tại giao diện Quên mật khẩu, nhập một email đúng định dạng nhưng chưa từng được đăng ký.
2. Bấm "Gửi link khôi phục".</t>
  </si>
  <si>
    <t>Hệ thống truy vấn cơ sở dữ liệu, không tìm thấy tài khoản và hiển thị thông báo: "Email không tồn tại trong hệ thống".</t>
  </si>
  <si>
    <t>Email: khongco@gmail.com</t>
  </si>
  <si>
    <t>Vẫn có thông báo gửi email đi</t>
  </si>
  <si>
    <t>PWD-ST-05</t>
  </si>
  <si>
    <t>Yêu cầu khôi phục mật khẩu thành công</t>
  </si>
  <si>
    <t>1. Nhấn link "Quên mật khẩu?" để mở giao diện khôi phục.
2. Nhập email hợp lệ đã đăng ký và nhấn "Gửi link khôi phục".</t>
  </si>
  <si>
    <t>Hệ thống tìm thấy tài khoản, tự động tạo token khôi phục và gửi email chứa link reset password. Giao diện hiển thị thông báo yêu cầu người dùng kiểm tra email.</t>
  </si>
  <si>
    <t>Email: test1@gmail.com</t>
  </si>
  <si>
    <t>Không có mail gửi đến</t>
  </si>
  <si>
    <t>PWD-ST-06</t>
  </si>
  <si>
    <t>(Ngoại lệ) Truy cập link khôi phục có Token không hợp lệ hoặc đã hết hạn</t>
  </si>
  <si>
    <t>1. Người dùng mở email và click vào link khôi phục mật khẩu nhưng token đã quá thời gian hiệu lực, hoặc người dùng cố tình chỉnh sửa chuỗi token trên URL.</t>
  </si>
  <si>
    <t>Hệ thống kiểm tra token khôi phục thất bại và hiển thị thông báo lỗi: "Link không hợp lệ hoặc đã hết hạn". Hệ thống từ chối hiển thị form đặt mật khẩu mới.</t>
  </si>
  <si>
    <t>Email khôi phục và Click URL: .../reset?token=sai_hoac_het_han</t>
  </si>
  <si>
    <t>PWD-ST-07</t>
  </si>
  <si>
    <t>Khôi phục và đặt mật khẩu mới qua link thành công</t>
  </si>
  <si>
    <t>1. Click vào link khôi phục hợp lệ trong email.
2. Tại form đặt mật khẩu mới, nhập mật khẩu mới và xác nhận mật khẩu khớp nhau.
3. Bấm "Đổi mật khẩu".</t>
  </si>
  <si>
    <t>Hệ thống xác thực token khôi phục hợp lệ. Cập nhật mật khẩu mới, vô hiệu hóa token khôi phục cũ để tránh tái sử dụng, thông báo "Đổi mật khẩu thành công" và chuyển hướng về trang đăng nhập.</t>
  </si>
  <si>
    <t>Email khôi phục và Click URL: .../reset?token=hop_le</t>
  </si>
  <si>
    <t>PWD-ST-08</t>
  </si>
  <si>
    <t>Validation: Độ mạnh mật khẩu mới không đạt yêu cầu</t>
  </si>
  <si>
    <t>1. Tại form Đổi mật khẩu hoặc form Khôi phục, nhập mật khẩu mới không đủ độ mạnh (VD: dưới 8 ký tự hoặc thiếu chữ hoa/chữ thường/số).
2. Bấm Xác nhận.</t>
  </si>
  <si>
    <t>Hệ thống kiểm tra độ mạnh mật khẩu (có kèm thanh hiển thị) và báo lỗi yêu cầu nhập mật khẩu bảo mật hơn. Quá trình lưu bị chặn.</t>
  </si>
  <si>
    <t>Mới &amp; Xác nhận: 12345678</t>
  </si>
  <si>
    <t>Không kiểm tra độ mạnh mật khẩu</t>
  </si>
  <si>
    <t>PWD-ST-09</t>
  </si>
  <si>
    <t>Validation: Mật khẩu mới trùng với mật khẩu cũ</t>
  </si>
  <si>
    <t>1. Tại form đặt mật khẩu mới, cố tình nhập mật khẩu giống y hệt mật khẩu cũ đang sử dụng trong hệ thống.
2. Bấm Xác nhận.</t>
  </si>
  <si>
    <t>Hệ thống validation phát hiện trùng lặp và từ chối cập nhật. Yêu cầu mật khẩu mới phải khác mật khẩu cũ.</t>
  </si>
  <si>
    <t>Pass cũ: 12345678 Pass mới: 12345678</t>
  </si>
  <si>
    <t>Không phát hiện trùng lặp</t>
  </si>
  <si>
    <t>Trạng thái: Cực kỳ ổn định. Tỷ lệ đạt (PASS) là 100% (8/8 case).
Độ tin cậy: Hệ thống quản trị đang vận hành đúng thiết kế, đảm bảo các chức năng cốt lõi như phân quyền, khóa/mở khóa tài khoản và quản lý dữ liệu hàng loạt.
Nhận xét kỹ thuật: Sử dụng Django Admin (dựa trên các mô tả về is_staff, is_active, và thông báo lỗi đặc trưng). Việc tận dụng tốt bộ công cụ có sẵn này giúp ít lỗi.</t>
  </si>
  <si>
    <t>A. Kiểm soát truy cập và Phân quyền (UM-ST-01, 02, 08)
Bảo mật tốt: Hệ thống phân biệt rõ ràng giữa User thường và Staff. Việc ngăn chặn truy cập trái phép vào /admin hoạt động hoàn hảo, giúp bảo vệ dữ liệu người dùng khỏi các truy cập ngoài ý muốn.
Linh hoạt: Tính năng cấp/thu hồi quyền trực tiếp từ giao diện giúp Admin điều phối nhân sự quản lý hệ thống một cách nhanh chóng mà không cần can thiệp vào Database.
B. Quản lý người dùng (UM-ST-03 -&gt; 06)
Hiệu suất: Các tính năng tìm kiếm, lọc (Filter) và thao tác hàng loạt (Bulk Actions) giúp tiết kiệm thời gian khi quy mô người dùng tăng lên.
Cơ chế khóa tài khoản: Đây là "cứu cánh" cho các lỗi ở module Login/Register trước đó. Trong khi hệ thống tự động khóa (Brute-force) chưa chạy, Admin có thể can thiệp thủ công bằng cách bỏ tick is_active để xử lý các tài khoản vi phạm.
An toàn dữ liệu: Việc hiển thị màn hình cảnh báo (Cascade) trước khi xóa hàng loạt là một điểm cộng lớn, giúp tránh mất mát dữ liệu liên quan (như lịch sử học tập, bài thi của user đó).
C. Quản lý mật khẩu (UM-ST-07)
Mã hóa: Việc đổi mật khẩu qua Admin Form đảm bảo mật khẩu được Hash đúng chuẩn (thay vì lưu text thô), giữ an toàn cho người dùng ngay cả khi Admin là người thực hiện đổi.</t>
  </si>
  <si>
    <t>UM-ST-01</t>
  </si>
  <si>
    <t>Truy cập trang Admin (Luồng chính)</t>
  </si>
  <si>
    <t>1. Truy cập 127.0.0.1:8000/admin.
2. Đăng nhập bằng tài khoản Superuser hoặc tài khoản có quyền Staff (is_staff=True).
3. Bấm vào mục Users (hoặc Custom User model của nhóm).</t>
  </si>
  <si>
    <t>Đăng nhập thành công, hiển thị danh sách người dùng trong hệ thống với các cột mặc định (Username, Email, First name, Last name, Staff status).</t>
  </si>
  <si>
    <t>Username: admin
Pass: admin123</t>
  </si>
  <si>
    <t>UM-ST-02</t>
  </si>
  <si>
    <t>(Ngoại lệ) Ngăn chặn User thường truy cập Admin</t>
  </si>
  <si>
    <t>1. Đăng nhập vào đường dẫn /admin bằng tài khoản người dùng bình thường (is_staff=False).</t>
  </si>
  <si>
    <t>Hệ thống từ chối truy cập và hiển thị thông báo lỗi (Please enter the correct username and password for a staff account. Note that both fields may be case-sensitive.) tại màn hình đăng nhập.</t>
  </si>
  <si>
    <t>Username: student1
Pass: student123</t>
  </si>
  <si>
    <t>UM-ST-03</t>
  </si>
  <si>
    <t>Tìm kiếm và Lọc dữ liệu</t>
  </si>
  <si>
    <t>1. Tại danh sách Users, nhập tên hoặc email vào ô Tìm kiếm (Search) và bấm Search.
2. Click chọn bộ lọc bên phải (Filter) theo Active hoặc Staff status.</t>
  </si>
  <si>
    <t>Bảng danh sách cập nhật chính xác các người dùng khớp với từ khóa tìm kiếm hoặc điều kiện lọc.</t>
  </si>
  <si>
    <t>Search: nguyen
Filter: Active = Yes</t>
  </si>
  <si>
    <t>UM-ST-04</t>
  </si>
  <si>
    <t>Khóa (Vô hiệu hóa) tài khoản người dùng</t>
  </si>
  <si>
    <t>1. Click vào một người dùng đang hoạt động.
2. Bỏ tick ở ô Active (is_active).
3. Bấm "Save" (Lưu).</t>
  </si>
  <si>
    <t>Thông báo lưu thành công. Người dùng đó không thể đăng nhập vào ứng dụng bên ngoài (Frontend) nữa.</t>
  </si>
  <si>
    <t>User đang Active.
Tick: Bỏ</t>
  </si>
  <si>
    <t>UM-ST-05</t>
  </si>
  <si>
    <t>Mở khóa tài khoản</t>
  </si>
  <si>
    <t>1. Click vào một người dùng đang bị khóa.
2. Tick lại vào ô Active (is_active).
3. Bấm "Save".</t>
  </si>
  <si>
    <t>Thông báo lưu thành công. Người dùng đó có thể đăng nhập lại vào hệ thống bình thường.</t>
  </si>
  <si>
    <t>User đang Blocked.
Tick: Chọn</t>
  </si>
  <si>
    <t>UM-ST-06</t>
  </si>
  <si>
    <t>Thao tác hàng loạt: Khóa/Xóa nhiều người dùng</t>
  </si>
  <si>
    <t>1. Tại danh sách Users, tick chọn nhiều người dùng cùng lúc.
2. Tại dropdown Action (Hành động), chọn lệnh "Delete selected users" (hoặc khóa nếu có custom action).
3. Bấm "Go".</t>
  </si>
  <si>
    <t>Hệ thống chuyển sang màn hình cảnh báo liệt kê các dữ liệu liên quan sẽ bị xóa theo (Cascade). Bấm xác nhận thì danh sách người dùng sẽ bị xóa/cập nhật thành công.</t>
  </si>
  <si>
    <t>Chọn 2-3 Users.
Action: Delete</t>
  </si>
  <si>
    <t>UM-ST-07</t>
  </si>
  <si>
    <t>Đổi mật khẩu cho người dùng</t>
  </si>
  <si>
    <t>1. Click vào một người dùng.
2. Tại phần Password, bấm vào đường link "this form" (biểu mẫu này) để đổi mật khẩu.
3. Nhập và xác nhận mật khẩu mới, bấm Save.</t>
  </si>
  <si>
    <t>Mật khẩu được mã hóa và cập nhật thành công, người dùng có thể dùng mật khẩu mới để đăng nhập.</t>
  </si>
  <si>
    <t>Pass mới: AdminSet@123</t>
  </si>
  <si>
    <t>UM-ST-08</t>
  </si>
  <si>
    <t>Cấp/Thu hồi quyền quản trị</t>
  </si>
  <si>
    <t>1. Click vào một người dùng.
2. Tại phần Permissions, tick/bỏ tick ô Staff status hoặc Superuser status.
3. Bấm Save.</t>
  </si>
  <si>
    <t>Quyền của người dùng được thay đổi thành công. Nếu được cấp, họ có thể truy cập /admin.</t>
  </si>
  <si>
    <t>Chọn 1 User.
Tick: Staff status</t>
  </si>
  <si>
    <t>Chỉnh sửa hàm sau</t>
  </si>
  <si>
    <t>Đánh giá chi tiết ở đây</t>
  </si>
  <si>
    <t>Đánh giá chung ở đây</t>
  </si>
  <si>
    <t>Module Nội dung học tập</t>
  </si>
  <si>
    <t>Trần Minh Hoàng - B22DCCN349</t>
  </si>
  <si>
    <t>Hệ thống đáp ứng được các yêu cầu chức năng cơ bản ở mức độ sơ khởi nhưng chưa đạt độ tin cậy để đưa vào vận hành thực tế. Tồn tại nhiều lỗi logic nghiệp vụ nghiêm trọng và lỗi hiệu năng làm vỡ bố cục trang.</t>
  </si>
  <si>
    <t>Tỷ lệ Pass rất thấp, chỉ đạt 30.77% (4/13).
Lỗi nghiêm trọng: Chức năng tìm kiếm luôn báo "Không tìm thấy" dù từ vựng có tồn tại trong cơ sở dữ liệu.
Lỗi UI/UX: Nút "Quay lại" điều hướng sai về Trang chủ thay vì danh sách trước đó; bố cục bị vỡ (overscroll ngang) khi hiển thị các từ vựng hoặc câu ví dụ quá dài.
Lỗi dữ liệu: Bộ đếm từ vựng luôn hiển thị bằng 0; trạng thái "Yêu thích" không được lưu lại sau khi làm mới trang.</t>
  </si>
  <si>
    <t>Category</t>
  </si>
  <si>
    <t>USER-SRCH-HP-01</t>
  </si>
  <si>
    <t>Tìm kiếm từ vựng (Khớp chính xác)</t>
  </si>
  <si>
    <t>Nhập từ khóa khớp chính xác bản ghi có trong khóa học.</t>
  </si>
  <si>
    <t>April</t>
  </si>
  <si>
    <t>Hiển thị đúng card từ vựng tương ứng.</t>
  </si>
  <si>
    <t>Hệ thống trả về "Không tìm thấy" dù từ tồn tại trong DB.</t>
  </si>
  <si>
    <t>USER-SRCH-HP-02</t>
  </si>
  <si>
    <t>Tìm kiếm từ vựng (Một phần từ)</t>
  </si>
  <si>
    <t>Nhập chuỗi ký tự là một phần của từ (Sub-string).</t>
  </si>
  <si>
    <t>ess</t>
  </si>
  <si>
    <t>Trả về các từ có chứa chuỗi "ess" (Access, Lesson...).</t>
  </si>
  <si>
    <t>Hệ thống trả về "Không tìm thấy".</t>
  </si>
  <si>
    <t>USER-SRCH-HP-03</t>
  </si>
  <si>
    <t>Tìm kiếm từ vựng (Hoa/Thường)</t>
  </si>
  <si>
    <t>Nhập từ khóa không phân biệt hoa thường.</t>
  </si>
  <si>
    <t>aPpLe</t>
  </si>
  <si>
    <t>Vẫn trả về kết quả chính xác (Case-insensitive).</t>
  </si>
  <si>
    <t>USER-SRCH-HP-04</t>
  </si>
  <si>
    <t>Tìm kiếm từ vựng (Nghĩa Tiếng Việt)</t>
  </si>
  <si>
    <t>Nhập nghĩa Tiếng Việt để tìm từ tiếng Anh tương ứng.</t>
  </si>
  <si>
    <t>đoán trước</t>
  </si>
  <si>
    <t>Hiển thị đúng từ vựng có nghĩa tương ứng (VD: Predict).</t>
  </si>
  <si>
    <t>USER-SRCH-HP-05</t>
  </si>
  <si>
    <t>Tìm kiếm từ vựng (Khoảng trắng)</t>
  </si>
  <si>
    <t>Nhập từ khóa có nhiều khoảng trắng thừa.</t>
  </si>
  <si>
    <t xml:space="preserve"> apple </t>
  </si>
  <si>
    <t>Hệ thống tự động trim và hiển thị kết quả bình thường.</t>
  </si>
  <si>
    <t>USER-SRCH-HP-06</t>
  </si>
  <si>
    <t>Tính bền vững (Persistence)</t>
  </si>
  <si>
    <t>Click chọn yêu thích (Star) -&gt; Refresh (F5).</t>
  </si>
  <si>
    <t>N/A</t>
  </si>
  <si>
    <t>Trạng thái yêu thích phải được lưu và giữ nguyên.</t>
  </si>
  <si>
    <t>Mất trạng thái yêu thích sau khi refresh.</t>
  </si>
  <si>
    <t>USER-SRCH-NG-01</t>
  </si>
  <si>
    <t>Tìm kiếm từ vựng (Không tồn tại)</t>
  </si>
  <si>
    <t>Nhập từ khóa chắc chắn không có trong DB.</t>
  </si>
  <si>
    <t>variety</t>
  </si>
  <si>
    <t>Hiển thị UI trạng thái rỗng thân thiện.</t>
  </si>
  <si>
    <t>Trả về thông báo "Không tìm thấy từ vựng nào".</t>
  </si>
  <si>
    <t>USER-SRCH-NG-02</t>
  </si>
  <si>
    <t>Tìm kiếm từ vựng (Ký tự đặc biệt)</t>
  </si>
  <si>
    <t>Nhập toàn ký tự đặc biệt vô nghĩa.</t>
  </si>
  <si>
    <t>!@#$%^&amp;*()</t>
  </si>
  <si>
    <t>Hiển thị UI trạng thái rỗng, không văng lỗi code.</t>
  </si>
  <si>
    <t>USER-SRCH-NG-03</t>
  </si>
  <si>
    <t>Chống mã độc XSS</t>
  </si>
  <si>
    <t>Nhập mã độc JavaScript &lt;script&gt;.</t>
  </si>
  <si>
    <t>&lt;script&gt;alert(1)&lt;/script&gt;</t>
  </si>
  <si>
    <t>Chuỗi được xử lý dạng plain text, không hiện popup.</t>
  </si>
  <si>
    <t>Bị chặn bởi lỗi Search luôn trả về rỗng.</t>
  </si>
  <si>
    <t>USER-SRCH-NG-04</t>
  </si>
  <si>
    <t>Chống lỗi SQL Injection</t>
  </si>
  <si>
    <t>Nhập chuỗi tấn công SQL ' OR '1'='1.</t>
  </si>
  <si>
    <t xml:space="preserve"> OR '1'='1</t>
  </si>
  <si>
    <t>Hệ thống xử lý an toàn, không sập Database.</t>
  </si>
  <si>
    <t>USER-SRCH-BD-01</t>
  </si>
  <si>
    <t>Giá trị biên (Để trống)</t>
  </si>
  <si>
    <t>Để trống ô search và nhấn Enter.</t>
  </si>
  <si>
    <t>(Để trống)</t>
  </si>
  <si>
    <t>Giao diện giữ nguyên trạng thái hoặc báo nhập từ khóa.</t>
  </si>
  <si>
    <t>USER-SRCH-BD-02</t>
  </si>
  <si>
    <t>Giá trị biên (1 ký tự)</t>
  </si>
  <si>
    <t>Nhập đúng 1 ký tự và nhấn Enter.</t>
  </si>
  <si>
    <t>a</t>
  </si>
  <si>
    <t>Trả về tất cả từ có chứa chữ "a".</t>
  </si>
  <si>
    <t>USER-SRCH-BD-03</t>
  </si>
  <si>
    <t>Giá trị biên (Max length)</t>
  </si>
  <si>
    <t>Nhập chuỗi dài chính xác 255 ký tự.</t>
  </si>
  <si>
    <t>Chuỗi 255 ký tự</t>
  </si>
  <si>
    <t>Truy vấn thành công, không văng lỗi hệ thống.</t>
  </si>
  <si>
    <t>USER-SRCH-UI-01</t>
  </si>
  <si>
    <t>Giao diện ô Search</t>
  </si>
  <si>
    <t>UI/UX</t>
  </si>
  <si>
    <t>Truy cập màn hình, quan sát ô tìm kiếm.</t>
  </si>
  <si>
    <t>Có placeholder rõ ràng, focus đổi màu viền.</t>
  </si>
  <si>
    <t>USER-SRCH-UI-02</t>
  </si>
  <si>
    <t>Điều hướng (Back button)</t>
  </si>
  <si>
    <t>Nhấn nút "Quay lại" tại màn Flashcard/Danh sách từ.</t>
  </si>
  <si>
    <t>Quay về màn hình Chọn chủ đề (Topic Selection).</t>
  </si>
  <si>
    <t>Hệ thống văng thẳng về Trang chủ (Home).</t>
  </si>
  <si>
    <t>USER-SRCH-UI-03</t>
  </si>
  <si>
    <t>Bộ đếm từ vựng (Word count)</t>
  </si>
  <si>
    <t>Xem thông tin số lượng từ hiển thị bên ngoài Topic.</t>
  </si>
  <si>
    <t>Topic 103 từ</t>
  </si>
  <si>
    <t>Hiển thị chính xác số từ (103 words).</t>
  </si>
  <si>
    <t>Luôn hiển thị "0 words".</t>
  </si>
  <si>
    <t xml:space="preserve"> Hệ thống hoạt động ổn định hơn so với phía người dùng, xử lý tốt các truy vấn cơ bản. Tuy nhiên, cần cải thiện độ chính xác khi xử lý dữ liệu tiếng Việt có dấu.</t>
  </si>
  <si>
    <t>- Chức năng tìm kiếm từ vựng phía student gặp lỗi nghiêm trọng khi không thể truy xuất dữ liệu hợp lệ (luôn báo không tìm thấy), dẫn đến việc không thể kiểm chứng được các kịch bản bảo mật sâu hơn (SQL Injection, Boundary) ở trạng thái Pending.
- Hệ thống hiển thị số lượng từ vựng luôn bằng 0 dù thực tế có dữ liệu, cho thấy sự thiếu nhất quán giữa lớp frontend và backend API.
- Trang Admin không phân biệt được các thực thể ngôn ngữ tiếng Việt (táo/tảo/tao), vi phạm tiêu chuẩn về độ chính xác dữ liệu của một ứng dụng ngôn ngữ.
- Hệ thống vi phạm quy tắc Layout Stability. Việc không xử lý boundary cho các từ vựng cực dài hoặc câu ví dụ làm vỡ bố cục trang (overscroll ngang), gây ảnh hưởng nghiêm trọng đến trải nghiệm người dùng trên các thiết bị khác nhau.
- Nút "Quay lại" làm mất ngữ cảnh người dùng khi nhảy thẳng về trang chủ thay vì quay về danh sách trước đó, vi phạm logic chuyển đổi trạng thái.
- Lỗi safeguard - Hệ thống thiếu cơ chế chặn/phân trang khi preview file dữ liệu lớn, dẫn đến lỗi not responding làm treo trình duyệt. Điều này cho thấy hệ thống chưa được chuẩn bị cho các kịch bản stress Test hoặc xử lý dữ liệu hàng loạt.
- Thiếu validation đầu vào: Trang admin cho phép lưu các chuỗi văn bản không hợp lệ vào trường URL, dẫn đến hiển thị lỗi broken icon thay vì chặn ngay từ khâu nhập liệu.
- Chức năng "Yêu thích" gặp lỗi Persistence (không lưu lại trạng thái sau khi refresh). Điều này vi phạm thuộc tính integrity trong mô hình McCall.</t>
  </si>
  <si>
    <t>ADMIN-SRCH-HP-01</t>
  </si>
  <si>
    <t>Admin Search (Tiếng Anh)</t>
  </si>
  <si>
    <t>Tìm từ vựng tại trang Quản trị bằng tiếng Anh.</t>
  </si>
  <si>
    <t>apple</t>
  </si>
  <si>
    <t>Lọc ra chính xác bản ghi.</t>
  </si>
  <si>
    <t>ADMIN-SRCH-HP-02</t>
  </si>
  <si>
    <t>Admin Search (Hoa/Thường)</t>
  </si>
  <si>
    <t>Tìm từ vựng tại trang Quản trị (Case-insensitive).</t>
  </si>
  <si>
    <t>ApPlE</t>
  </si>
  <si>
    <t>ADMIN-SRCH-HP-03</t>
  </si>
  <si>
    <t>Admin Search (Sub-string)</t>
  </si>
  <si>
    <t>Tìm từ vựng tại trang Quản trị bằng một phần từ.</t>
  </si>
  <si>
    <t>pple</t>
  </si>
  <si>
    <t>Trả về các từ chứa "pple".</t>
  </si>
  <si>
    <t>ADMIN-SRCH-NG-01</t>
  </si>
  <si>
    <t>Admin Search (Dấu Tiếng Việt)</t>
  </si>
  <si>
    <t>Tìm từ vựng tại trang Quản trị bằng tiếng Việt có dấu.</t>
  </si>
  <si>
    <t>táo</t>
  </si>
  <si>
    <t>Lọc ra đúng từ "táo".</t>
  </si>
  <si>
    <t>Ra cả "tao", "tạo", "tảo" (Lỗi không phân biệt dấu).</t>
  </si>
  <si>
    <t>ADMIN-SRCH-NG-02</t>
  </si>
  <si>
    <t>Admin Search (Ký tự lạ)</t>
  </si>
  <si>
    <t>Hiển thị "0 items found", không văng lỗi.</t>
  </si>
  <si>
    <t>ADMIN-SRCH-NG-03</t>
  </si>
  <si>
    <t>Admin XSS Safety</t>
  </si>
  <si>
    <t>Nhập mã độc JavaScript vào ô tìm kiếm Admin.</t>
  </si>
  <si>
    <t>&lt;script&gt;...&lt;/script&gt;</t>
  </si>
  <si>
    <t>Xử lý text thuần, an toàn.</t>
  </si>
  <si>
    <t>ADMIN-SRCH-NG-04</t>
  </si>
  <si>
    <t>Admin SQLi Safety</t>
  </si>
  <si>
    <t>Nhập mã SQL Injection vào ô tìm kiếm Admin.</t>
  </si>
  <si>
    <t>Hệ thống an toàn, không sập DB.</t>
  </si>
  <si>
    <t>ADMIN-SRCH-UI-01</t>
  </si>
  <si>
    <t>Giao diện thông báo</t>
  </si>
  <si>
    <t>Quan sát kết quả sau khi tìm kiếm Admin.</t>
  </si>
  <si>
    <t>Thông báo số lượng kết quả hiển thị rõ ràng.</t>
  </si>
  <si>
    <t>ADMIN-SRCH-BD-01</t>
  </si>
  <si>
    <t>Giá trị biên Admin</t>
  </si>
  <si>
    <t>Nhập chuỗi 255 ký tự vào ô search Admin.</t>
  </si>
  <si>
    <t>Truy vấn thành công, không văng lỗi.</t>
  </si>
  <si>
    <t>Hệ thống E-Vocab đáp ứng được các yêu cầu chức năng cơ bản ở mức độ sơ khởi nhưng chưa đạt độ tin cậy để đưa vào vận hành thực tế. 
Hệ thống tồn tại nhiều lỗi logic nghiệp vụ nghiêm trọng (False) và lỗi hiệu năng làm treo trình duyệt, đặc biệt tập trung tại module Nội dung học tập và Quản trị dữ liệu.</t>
  </si>
  <si>
    <t>Đạt tỷ lệ Pass cao nhất (9/11), tuy nhiên vẫn gặp lỗi về validation đầu vào (cho phép lưu URL không hợp lệ).</t>
  </si>
  <si>
    <t>ADMIN-CRUD-HP-01</t>
  </si>
  <si>
    <t>Thêm từ thủ công (Happy)</t>
  </si>
  <si>
    <t>Chọn Topic -&gt; Điền đầy đủ form -&gt; Lưu.</t>
  </si>
  <si>
    <t>Từ "selfie", nghĩa, audio/image URL hợp lệ</t>
  </si>
  <si>
    <t>Lưu thành công, hiển thị đúng trong danh sách.</t>
  </si>
  <si>
    <t>ADMIN-CRUD-HP-02</t>
  </si>
  <si>
    <t>Xóa từ vựng (Happy)</t>
  </si>
  <si>
    <t>Tìm từ "Apple" -&gt; Tích chọn -&gt; Action Delete.</t>
  </si>
  <si>
    <t>Từ "Apple" bị xóa sau khi xác nhận.</t>
  </si>
  <si>
    <t>ADMIN-CRUD-HP-03</t>
  </si>
  <si>
    <t>Sửa từ vựng</t>
  </si>
  <si>
    <t>Tìm từ "Apple" -&gt; Chọn -&gt; Sửa thông tin -&gt; Save</t>
  </si>
  <si>
    <t>Các thông tin liên quan đã được sửa</t>
  </si>
  <si>
    <t>ADMIN-CRUD-AL-01</t>
  </si>
  <si>
    <t>Thêm Topic mới (Alt)</t>
  </si>
  <si>
    <t>Click "+" tại form thêm từ -&gt; Điền form Topic -&gt; Quay lại.</t>
  </si>
  <si>
    <t>Course: Từ vựng IELTS, Title: IELTS 9.0</t>
  </si>
  <si>
    <t>Topic mới được tạo và tự động chọn trong dropdown.</t>
  </si>
  <si>
    <t>ADMIN-CRUD-AL-02</t>
  </si>
  <si>
    <t>Thêm Course mới (Alt)</t>
  </si>
  <si>
    <t>Click "+" tại form thêm từ -&gt; Click "+" tại form thêm Topic -&gt; Điền form Course -&gt; Quay lại.</t>
  </si>
  <si>
    <t>Course: TOEFL 999</t>
  </si>
  <si>
    <t>Course mới được tạo, tự động trong dropdown chọn của topic</t>
  </si>
  <si>
    <t>ADMIN-CRUD-NG-01</t>
  </si>
  <si>
    <t>Trường bắt buộc (Negative)</t>
  </si>
  <si>
    <t>Để trống Word, Meaning, Topic -&gt; Lưu.</t>
  </si>
  <si>
    <t>Để trống</t>
  </si>
  <si>
    <t>Báo lỗi đỏ "This field is required", không cho lưu.</t>
  </si>
  <si>
    <t>ADMIN-CRUD-NG-02</t>
  </si>
  <si>
    <t>Định dạng URL (Negative)</t>
  </si>
  <si>
    <t>Nhập chuỗi thường vào trường URL Ảnh/Audio.</t>
  </si>
  <si>
    <t>đây không phải link</t>
  </si>
  <si>
    <t>Báo lỗi "Enter a valid URL", không cho lưu.</t>
  </si>
  <si>
    <t>Hệ thống vẫn lưu; UI hiển thị icon ảnh lỗi.</t>
  </si>
  <si>
    <t>ADMIN-CRUD-NG-03</t>
  </si>
  <si>
    <t>Trùng lặp dữ liệu (Negative)</t>
  </si>
  <si>
    <t>Thêm từ đã tồn tại vào cùng Topic.</t>
  </si>
  <si>
    <t>Word: "Apple" (đã có)</t>
  </si>
  <si>
    <t>Báo lỗi trùng lặp (Duplicate error).</t>
  </si>
  <si>
    <t>Hệ thống vẫn lưu từ bị lặp.</t>
  </si>
  <si>
    <t>ADMIN-CRUD-BD-01</t>
  </si>
  <si>
    <t>Giới hạn ký tự (Boundary)</t>
  </si>
  <si>
    <t>Nhập ví dụ dài vượt mức thông thường.</t>
  </si>
  <si>
    <t>Chuỗi 1560 ký tự</t>
  </si>
  <si>
    <t>Chặn nhập hoặc xử lý lưu thành công (tùy limit).</t>
  </si>
  <si>
    <t>ADMIN-CRUD-UI-01</t>
  </si>
  <si>
    <t>Vị trí nút bấm (GUI)</t>
  </si>
  <si>
    <t>Kiểm tra vị trí các nút Save/Add another.</t>
  </si>
  <si>
    <t>Đúng vị trí chuẩn STango Admin (App D).</t>
  </si>
  <si>
    <t>ADMIN-CRUD-UI-02</t>
  </si>
  <si>
    <t>Chức năng nút Save (GUI)</t>
  </si>
  <si>
    <t>Nhấn Save sau khi thêm từ.</t>
  </si>
  <si>
    <t>Hoạt động đúng điều hướng.</t>
  </si>
  <si>
    <t xml:space="preserve">Quản lý từ                                                        </t>
  </si>
  <si>
    <t>ADMIN-EXP-HP-01</t>
  </si>
  <si>
    <t>Export CSV (Happy)</t>
  </si>
  <si>
    <t>Chọn từ vựng -&gt; Action Export -&gt; CSV.</t>
  </si>
  <si>
    <t>Tải file .csv thành công, đủ dữ liệu.</t>
  </si>
  <si>
    <t>ADMIN-EXP-HP-02</t>
  </si>
  <si>
    <t>Export HTML (Happy)</t>
  </si>
  <si>
    <t>Chọn định dạng HTML để export.</t>
  </si>
  <si>
    <t>Tải file .html, hiển thị dạng bảng gọn gàng.</t>
  </si>
  <si>
    <t>ADMIN-EXP-HP-03</t>
  </si>
  <si>
    <t>Export YAML (Happy)</t>
  </si>
  <si>
    <t>Chọn định dạng YAML để export.</t>
  </si>
  <si>
    <t>Tải file .yaml đúng cấu trúc key-value.</t>
  </si>
  <si>
    <t>ADMIN-EXP-NG-01</t>
  </si>
  <si>
    <t>Ràng buộc định dạng (Neg)</t>
  </si>
  <si>
    <t>Thực hiện Export khi chưa chọn định dạng.</t>
  </si>
  <si>
    <t>Hệ thống yêu cầu phải chọn định dạng.</t>
  </si>
  <si>
    <t>ADMIN-EXP-UI-01</t>
  </si>
  <si>
    <t>Sắp xếp dropdown (GUI)</t>
  </si>
  <si>
    <t>Kiểm tra danh sách định dạng Export.</t>
  </si>
  <si>
    <t>Danh sách sắp xếp theo bảng chữ cái (App D).</t>
  </si>
  <si>
    <t>Sắp xếp không theo bảng chữ cái.</t>
  </si>
  <si>
    <t>Tỷ lệ lỗi rất cao (10/18 Fail). Hệ thống gặp vấn đề nghiêm trọng khi xử lý dữ liệu hàng loạt, đặc biệt là lỗi treo trình duyệt khi xem trước (preview) các tệp tin lớn.</t>
  </si>
  <si>
    <t>ADMIN-IMP-HP-01</t>
  </si>
  <si>
    <t>Import CSV (Happy)</t>
  </si>
  <si>
    <t>Chọn file CSV đúng chuẩn -&gt; Upload.</t>
  </si>
  <si>
    <t>data.csv</t>
  </si>
  <si>
    <t>Báo "Successfully imported X records".</t>
  </si>
  <si>
    <t>ADMIN-IMP-HP-02</t>
  </si>
  <si>
    <t>Import JSON (Happy)</t>
  </si>
  <si>
    <t>Chọn file JSON đúng chuẩn -&gt; Upload.</t>
  </si>
  <si>
    <t>data.json</t>
  </si>
  <si>
    <t>Parse và lưu vào DB thành công.</t>
  </si>
  <si>
    <t>ADMIN-IMP-NG-01</t>
  </si>
  <si>
    <t>Sai định dạng file (Neg)</t>
  </si>
  <si>
    <t>Chọn file .pdf để Import.</t>
  </si>
  <si>
    <t>test.pdf</t>
  </si>
  <si>
    <t>Báo lỗi "Unsupported file format".</t>
  </si>
  <si>
    <t>ADMIN-IMP-NG-02</t>
  </si>
  <si>
    <t>Khớp đuôi file (Neg)</t>
  </si>
  <si>
    <t>Chọn file JSON nhưng chọn format YAML.</t>
  </si>
  <si>
    <t>data.json (.yaml)</t>
  </si>
  <si>
    <t>Hệ thống từ chối hoặc xử lý đúng.</t>
  </si>
  <si>
    <t>ADMIN-IMP-NG-03</t>
  </si>
  <si>
    <t>Sai tên Header (Neg)</t>
  </si>
  <si>
    <t>Đổi tên cột 'word' thành 'tu_vung'.</t>
  </si>
  <si>
    <t>CSV sai header</t>
  </si>
  <si>
    <t>Báo lỗi thiếu cột 'word' (App F).</t>
  </si>
  <si>
    <t>Hệ thống bỏ qua header.</t>
  </si>
  <si>
    <t>ADMIN-IMP-NG-04</t>
  </si>
  <si>
    <t>Lỗi cú pháp file (Neg)</t>
  </si>
  <si>
    <t>File JSON thiếu dấu ngoặc đóng ].</t>
  </si>
  <si>
    <t>JSON lỗi</t>
  </si>
  <si>
    <t>Báo lỗi "Invalid JSON format", không import.</t>
  </si>
  <si>
    <t>Hệ thống vẫn cố import dữ liệu lỗi.</t>
  </si>
  <si>
    <t>ADMIN-IMP-NG-05</t>
  </si>
  <si>
    <t>Thiếu Header chính (Neg)</t>
  </si>
  <si>
    <t>CSV thiếu cột từ và nghĩa.</t>
  </si>
  <si>
    <t>CSV thiếu header</t>
  </si>
  <si>
    <t>Báo lỗi thiếu trường quan trọng.</t>
  </si>
  <si>
    <t>Hệ thống vẫn import dù thiếu data cốt lõi.</t>
  </si>
  <si>
    <t>ADMIN-IMP-BD-01</t>
  </si>
  <si>
    <t>Safeguard file lớn (BVA)</t>
  </si>
  <si>
    <t>Upload file 55MB.</t>
  </si>
  <si>
    <t>File 55MB</t>
  </si>
  <si>
    <t>Hủy bỏ, không xử lý file quá lớn.</t>
  </si>
  <si>
    <t>Hệ thống treo/Not responding khi cố xử lý.</t>
  </si>
  <si>
    <t>ADMIN-IMP-UI-01</t>
  </si>
  <si>
    <t>Preview dữ liệu lớn (GUI)</t>
  </si>
  <si>
    <t>Quan sát UI khi preview file lớn.</t>
  </si>
  <si>
    <t>UI mượt mà, có phân trang hoặc scroll.</t>
  </si>
  <si>
    <t>UI Not responding, ảnh hưởng trình duyệt.</t>
  </si>
  <si>
    <t>USER-FC-UI-01</t>
  </si>
  <si>
    <t>Tốc độ hiệu ứng (GUI)</t>
  </si>
  <si>
    <t>Click lật thẻ Flashcard.</t>
  </si>
  <si>
    <t>Xoay mượt, thời gian &lt; 300ms.</t>
  </si>
  <si>
    <t>USER-FC-UI-02</t>
  </si>
  <si>
    <t>Tooltip hướng dẫn (GUI)</t>
  </si>
  <si>
    <t>Hover chuột vào icon loa.</t>
  </si>
  <si>
    <t>Hiện tooltip "Phát âm" (App D).</t>
  </si>
  <si>
    <t>Không có tooltip cho Flashcard.</t>
  </si>
  <si>
    <t>USER-FC-UI-03</t>
  </si>
  <si>
    <t>Chuyển trạng thái (State)</t>
  </si>
  <si>
    <t>Click "Lật thẻ" từ mặt trước.</t>
  </si>
  <si>
    <t>Hiện mặt sau, ẩn hoàn toàn mặt trước.</t>
  </si>
  <si>
    <t>USER-FC-UI-04</t>
  </si>
  <si>
    <t>Tràn chữ - Từ (BVA)</t>
  </si>
  <si>
    <t>Mở Flashcard có từ cực dài.</t>
  </si>
  <si>
    <t>Chuỗi 123...</t>
  </si>
  <si>
    <t>Chữ tự xuống dòng, không tràn biên (App D).</t>
  </si>
  <si>
    <t>Từ bị tràn, đẩy nút tương tác ra ngoài web.</t>
  </si>
  <si>
    <t>USER-FC-UI-05</t>
  </si>
  <si>
    <t>Co giãn màn hình (GUI)</t>
  </si>
  <si>
    <t>F12 sang Mobile (390px).</t>
  </si>
  <si>
    <t>UI responsive, vừa vặn màn hình.</t>
  </si>
  <si>
    <t>USER-FC-BD-01</t>
  </si>
  <si>
    <t>Tràn chữ - Ví dụ (BVA)</t>
  </si>
  <si>
    <t>Mở Flashcard có ví dụ &gt; 200 từ.</t>
  </si>
  <si>
    <t>Ví dụ cực dài</t>
  </si>
  <si>
    <t>Chữ không được tràn ra ngoài biên thẻ.</t>
  </si>
  <si>
    <t>Ví dụ làm chữ tràn ra ngoài Flashcard.</t>
  </si>
  <si>
    <t>USER-FC-BD-02</t>
  </si>
  <si>
    <t>Spam click (BVA)</t>
  </si>
  <si>
    <t>Click nút Audio 10 lần/2 giây.</t>
  </si>
  <si>
    <t>Hệ thống không bị đứng/treo.</t>
  </si>
  <si>
    <t>USER-FC-NG-01</t>
  </si>
  <si>
    <t>Thiếu ảnh (Negative)</t>
  </si>
  <si>
    <t>Mở từ vựng không có ảnh trong DB.</t>
  </si>
  <si>
    <t>Từ thiếu ảnh</t>
  </si>
  <si>
    <t>Hiện placeholder, layout tự cân chỉnh.</t>
  </si>
  <si>
    <t>Không có placeholder, layout bị trống/vỡ.</t>
  </si>
  <si>
    <t>USER-FC-NG-02</t>
  </si>
  <si>
    <t>Thiếu Audio (Negative)</t>
  </si>
  <si>
    <t>Mở từ vựng không có file Audio.</t>
  </si>
  <si>
    <t>Từ thiếu audio</t>
  </si>
  <si>
    <t>Nút loa bị disabled, không cho click.</t>
  </si>
  <si>
    <t>Nút loa vẫn cho click dù không có âm thanh.</t>
  </si>
  <si>
    <t>Tỷ lệ Pass thấp (4/9), các lỗi tập trung vào việc hiển thị và logic nghiệp vụ của thẻ học.</t>
  </si>
  <si>
    <t>Xem Flashcard</t>
  </si>
  <si>
    <t>Học từ vựng</t>
  </si>
  <si>
    <t>Nguyễn Anh Tuấn - B22DCCN758</t>
  </si>
  <si>
    <t>Đa số các test case đều ổn, nhưng có 2 test case có lỗi nghiêm trọng</t>
  </si>
  <si>
    <t>- Các case thông thường đều PASS nhưng 2 case nghiêm trọng như token hết hạn và không có "Tạo bài thi" là lỗi nghiêm trọng:
+ Token hết hạn không xử lý đúng dẫn đến trải nghiệm người dùng không được thoải mái, gây lỗi session
+ Không có "Tạo bài thi" do không tuân thủ đặc tả</t>
  </si>
  <si>
    <t>Phân loại</t>
  </si>
  <si>
    <t>Bảo mật và hiệu năng của học từ vựng</t>
  </si>
  <si>
    <t>CMN-ST-01-H</t>
  </si>
  <si>
    <t>Đảm bảo dữ liệu người dùng này không bị lẫn lộn với người dùng khác và ngăn chặn truy cập trái phép qua URL</t>
  </si>
  <si>
    <t>1) Đăng nhập User A, làm bài luyện tập UC06. 2) Đăng nhập User B trên trình duyệt khác, làm bài thi UC08. 3) So sánh kết quả và thống kê.</t>
  </si>
  <si>
    <t>Dữ liệu kết quả, progress, statistics của hai user hoàn toàn tách biệt; không có dữ liệu chéo.</t>
  </si>
  <si>
    <t>2 tài khoản riêng</t>
  </si>
  <si>
    <t>CMN-ST-01-L</t>
  </si>
  <si>
    <t>1) Truy cập trực tiếp URL /practice, /flashcard hoặc /exam khi chưa đăng nhập.</t>
  </si>
  <si>
    <t>Hệ thống chuyển hướng về trang đăng nhập; không hiển thị dữ liệu của bất kỳ user nào.</t>
  </si>
  <si>
    <t>Chưa đăng nhập</t>
  </si>
  <si>
    <t>CMN-ST-01-B</t>
  </si>
  <si>
    <t>1) Đăng nhập. 2) Để token hết hạn trong phiên học / luyện tập / thi. 3) Thực hiện thao tác tiếp theo.</t>
  </si>
  <si>
    <t>Hệ thống yêu cầu đăng nhập lại hoặc refresh token; không lộ dữ liệu user khác; không mất kết quả đang làm (theo đặc tả).</t>
  </si>
  <si>
    <t>Token hết hạn</t>
  </si>
  <si>
    <t xml:space="preserve">Hệ thống không bắt đăng nhập lại nhưng không truy cập dịch vụ được nữa -&gt; lỗi UX </t>
  </si>
  <si>
    <t>CMN-ST-02-H</t>
  </si>
  <si>
    <t>Xác nhận hệ thống phản hồi nhanh (tải đề ≤ 5s, phản hồi đáp án ≤ 2s) để không gây khó chịu cho học viên</t>
  </si>
  <si>
    <t>1) Tạo bài thi. 2) Đo thời gian từ lúc nhấn “Tạo bài thi” đến khi đề xuất hiện.</t>
  </si>
  <si>
    <t>Thời gian tải đề ≤ 5 giây.</t>
  </si>
  <si>
    <t>Môi trường mạng bình thường</t>
  </si>
  <si>
    <t>Không có nút tạo bài thi</t>
  </si>
  <si>
    <t>CMN-ST-02-T</t>
  </si>
  <si>
    <t>1) Trả lời câu hỏi. 2) Đo thời gian phản hồi từ lúc gửi đến khi nhận kết quả.</t>
  </si>
  <si>
    <t>Thời gian phản hồi ≤ 2 giây.</t>
  </si>
  <si>
    <t>—</t>
  </si>
  <si>
    <t>CMN-ST-02-L</t>
  </si>
  <si>
    <t>1) Tải đề thi trong điều kiện mạng chậm hoặc tải nhiều đề liên tiếp.</t>
  </si>
  <si>
    <t>Hệ thống không crash.</t>
  </si>
  <si>
    <t>Mạng chậm</t>
  </si>
  <si>
    <t>Trạng thái hệ thống: Thiếu ổn định và lệch chuẩn đặc tả. Tỷ lệ lỗi (FAIL) rất cao, đặc biệt tập trung vào luồng điều hướng (Navigation), UI/UX và các tính năng nâng cao (Lưu tiến độ, xem chi tiết đáp án).
Chức năng cốt lõi: Các tương tác cơ bản trong lúc làm bài (ghi nhận đáp án trắc nghiệm, tự luận, phát âm) hoạt động tốt. Tuy nhiên, hệ thống bao quanh (Wrapper) như màn hình bắt đầu, kết thúc và quản lý lịch sử đang gặp vấn đề nghiêm trọng.
Mức độ sẵn sàng: Chưa thể phát hành. Cần chỉnh sửa lại giao diện và logic điều hướng để khớp với tài liệu đặc tả ban đầu.</t>
  </si>
  <si>
    <t xml:space="preserve">A. Luồng nghiệp vụ và Đặc tả (Logic &amp; Specification)
Sai lệch vị trí tính năng: Lỗi EXM-ST-01-H cho thấy tính năng "Làm bài thi" đang nằm sai vị trí (trong Topic thay vì Sidebar), gây khó khăn cho việc tiếp cận.
Vi phạm ràng buộc: Hệ thống chưa chặn được người dùng học &lt; 20 từ (EXM-ST-01-B), dẫn đến việc người dùng có thể vào thi khi chưa đủ kiến thức, làm sai lệch mục đích bài kiểm tra.
Cơ chế lưu trữ: Đây là điểm yếu lớn nhất. Các tính năng "Lưu và thoát", "Lưu tiến độ" đều thất bại (FAIL). Hệ thống hiện tại chỉ đang hỗ trợ làm bài tuyến tính rồi nộp, không có khả năng bảo toàn dữ liệu khi có sự cố hoặc người dùng muốn tạm dừng.
B. Giao diện và Trải nghiệm người dùng (UI/UX)
Thiếu hụt thành phần điều hướng: Hàng loạt nút bấm quan trọng như "Làm thêm bài thi", "Xem chi tiết đáp án", "Countdown" không tồn tại hoặc không hoạt động.
Thông tin sai lệch: Thời gian làm bài thực tế (10 phút) không khớp với thiết kế (20 phút), và các thông báo xác nhận thoát bài cũng không đầy đủ lựa chọn như yêu cầu.
Phản hồi hệ thống: Hệ thống thiếu các thông báo lỗi trực quan khi mất kết nối mạng lúc nộp bài (EXM-ST-09-L), dễ gây hoang mang cho học viên.
C. Công nghệ và Xử lý câu hỏi (Interaction)
Điểm sáng: Các loại hình câu hỏi (Multiple Choice, Essay, Pronunciation) đều có kết quả PASS. Điều này cho thấy engine xử lý bài thi (Core Engine) chạy khá ổn định.
Xử lý thời gian: Cơ chế tự động thu bài khi hết giờ (EXM-ST-02-L, EXM-ST-05-L) hoạt động chính xác, đảm bảo tính công bằng của bài thi.
</t>
  </si>
  <si>
    <t>Làm bài kiểm tra</t>
  </si>
  <si>
    <t>EXM-ST-01-H</t>
  </si>
  <si>
    <t>Đảm bảo người dùng chỉ được thi khi đủ điều kiện (≥20 từ đã học)</t>
  </si>
  <si>
    <t>1) Vào “Take Exam”. 2) Chọn mode Multiple Choice, độ khó trung bình, 20 câu. 3) Nhấn “Tạo bài thi”. 4) Xem màn xác nhận. 5) Nhấn “Bắt đầu thi”.</t>
  </si>
  <si>
    <t>Màn xác nhận hiển thị đúng: tổng số câu, thời gian, chế độ. Countdown 3…2…1 rồi vào giao diện làm bài.</t>
  </si>
  <si>
    <t>User đủ ≥20 từ đã học</t>
  </si>
  <si>
    <t>Không đúng luồng theo đặc tả, không có "Làm bài kiểm tra" ở sidebar mà ở trong topic</t>
  </si>
  <si>
    <t>EXM-ST-01-T</t>
  </si>
  <si>
    <t>1) Chọn cả 3 mode + độ khó cao + 30 câu. 2) Nhấn “Tạo bài thi”. 3) Xem màn xác nhận.</t>
  </si>
  <si>
    <t>Thông tin xác nhận đúng; số câu mỗi mode phân bổ theo thiết kế; thời gian hiển thị đúng.</t>
  </si>
  <si>
    <t>EXM-ST-01-L</t>
  </si>
  <si>
    <t>1) Cấu hình bài thi xong. 2) Trên màn xác nhận, nhấn “Hủy bỏ”.</t>
  </si>
  <si>
    <t>Hệ thống quay về màn cấu hình bài thi (bước 2); cấu hình đã chọn được giữ hoặc reset theo thiết kế.</t>
  </si>
  <si>
    <t>EXM-ST-01-B</t>
  </si>
  <si>
    <t>1) Đăng nhập user chưa đủ 20 từ đã học. 2) Vào “Take Exam”.</t>
  </si>
  <si>
    <t>Hệ thống chặn và thông báo rõ ràng chưa đủ điều kiện thi; không cho vào màn cấu hình.</t>
  </si>
  <si>
    <t>User &lt;20 từ đã học</t>
  </si>
  <si>
    <t>EXM-ST-02-H</t>
  </si>
  <si>
    <t>Khác với luyện tập, mục đích ở đây là kiểm tra việc ghi nhận đáp án mà không tiết lộ kết quả đúng/sai ngay lập tức</t>
  </si>
  <si>
    <t>1) Đang thi, gặp câu trắc nghiệm. 2) Chọn 1 trong 4 đáp án. 3) Chuyển câu tiếp.</t>
  </si>
  <si>
    <t>Hệ thống ghi nhận đáp án và chuyển câu tiếp; không hiển thị đúng/sai ngay (khác UC06).</t>
  </si>
  <si>
    <t>Phiên thi đang chạy</t>
  </si>
  <si>
    <t>EXM-ST-02-L</t>
  </si>
  <si>
    <t>1) Hết giờ khi đang ở câu trắc nghiệm chưa chọn đáp án.</t>
  </si>
  <si>
    <t>Hệ thống tự động nộp bài và chuyển sang màn kết quả (E2); câu chưa làm tính sai.</t>
  </si>
  <si>
    <t>Timer hết giờ</t>
  </si>
  <si>
    <t>EXM-ST-03-H</t>
  </si>
  <si>
    <t>1) Gặp câu tự luận trong bài thi. 2) Nhập đáp án. 3) Nhấn Enter hoặc “Câu tiếp theo”.</t>
  </si>
  <si>
    <t>Hệ thống ghi nhận và chuyển câu tiếp; không cho biết đúng/sai ngay.</t>
  </si>
  <si>
    <t>EXM-ST-03-T</t>
  </si>
  <si>
    <t>1) Nhập rỗng và nhấn “Câu tiếp theo”.</t>
  </si>
  <si>
    <t>Hệ thống xử lý theo thiết kế (coi là sai hoặc chặn gửi).</t>
  </si>
  <si>
    <t>Input rỗng</t>
  </si>
  <si>
    <t>EXM-ST-03-L</t>
  </si>
  <si>
    <t>1) Đang nhập câu trả lời thì hết giờ.</t>
  </si>
  <si>
    <t>Hệ thống tự động nộp bài; câu đang nhập bị tính theo thiết kế (bỏ/sai).</t>
  </si>
  <si>
    <t>EXM-ST-04-H</t>
  </si>
  <si>
    <t>1) Gặp câu phát âm. 2) Nhấn “Nghe mẫu”. 3) Nhấn “Bắt đầu ghi âm”. 4) Phát âm từ. 5) Nhận điểm. 6) Nhấn Next.</t>
  </si>
  <si>
    <t>Điểm ≥60% được tính điểm câu đó; chuyển câu tiếp bằng nút Next.</t>
  </si>
  <si>
    <t>Thiết bị có mic</t>
  </si>
  <si>
    <t>EXM-ST-04-T</t>
  </si>
  <si>
    <t>1) Không nhấn “Nghe mẫu” trước khi ghi âm. 2) Ghi âm và nhận điểm.</t>
  </si>
  <si>
    <t>Hệ thống không bắt buộc nghe mẫu trước; quy trình vẫn hoạt động bình thường.</t>
  </si>
  <si>
    <t>EXM-ST-04-L</t>
  </si>
  <si>
    <t>1) Microphone mất kết nối giữa chừng khi đang ghi âm.</t>
  </si>
  <si>
    <t>Thông báo lỗi mic rõ ràng; không bị kẹt màn hình; có lối thoát hợp lệ.</t>
  </si>
  <si>
    <t>Mic mất kết nối</t>
  </si>
  <si>
    <t>EXM-ST-04-B</t>
  </si>
  <si>
    <t>1) Phát âm được đánh giá đúng bằng 60% (ngưỡng pass).</t>
  </si>
  <si>
    <t>60% được tính là pass và ghi điểm cho câu đó.</t>
  </si>
  <si>
    <t>Điểm đúng ngưỡng</t>
  </si>
  <si>
    <t>Khó để thực hiện vì không có tính điểm luôn lúc đấy để biết đúng 60% chưa</t>
  </si>
  <si>
    <t>EXM-ST-05-H</t>
  </si>
  <si>
    <t>Kiểm tra tính chính xác của đồng hồ đếm ngược và cơ chế tự động thu bài khi hết giờ</t>
  </si>
  <si>
    <t>1) Nhấn “Bắt đầu thi”. 2) Quan sát countdown 3…2…1. 3) Quan sát timer đếm ngược trong suốt bài.</t>
  </si>
  <si>
    <t>Countdown hiển thị đúng; timer đếm ngược chính xác đến 0:00.</t>
  </si>
  <si>
    <t>Bài thi đang chạy</t>
  </si>
  <si>
    <t>Không có count down, không có bắt đầu thi</t>
  </si>
  <si>
    <t>EXM-ST-05-T</t>
  </si>
  <si>
    <t>1) Hoàn thành tất cả câu trước khi hết 20 phút. 2) Nộp bài sớm.</t>
  </si>
  <si>
    <t>Hệ thống chuyển sang màn kết quả ngay; không phải chờ hết giờ.</t>
  </si>
  <si>
    <t>10 phút, không phải 20 phút</t>
  </si>
  <si>
    <t>EXM-ST-05-L</t>
  </si>
  <si>
    <t>1) Để hết giờ mà không làm hết bài.</t>
  </si>
  <si>
    <t>Hệ thống hiển thị thông báo “Đã hết giờ làm bài” và tự động chuyển sang màn kết quả; câu chưa làm tính là sai.</t>
  </si>
  <si>
    <t>EXM-ST-06-H</t>
  </si>
  <si>
    <t>Kiểm tra các kịch bản xử lý điểm số khi người dùng cố tình hủy bài hoặc lưu bài thi dở dang</t>
  </si>
  <si>
    <t>1) Đang làm bài. 2) Nhấn nút thoát.</t>
  </si>
  <si>
    <t>Popup cảnh báo hiển thị đúng 3 lựa chọn: “Tiếp tục làm bài”, “Lưu và thoát”, “Hủy bài và thoát”.</t>
  </si>
  <si>
    <t>Không đúng theo đặc tả, chỉ có thông báo xác nhận "Bạn có chắc muốn thoát? Bài kiểm tra sẽ không được lưu."</t>
  </si>
  <si>
    <t>EXM-ST-06-T1</t>
  </si>
  <si>
    <t>1) Popup thoát đang hiển thị. 2) Chọn “Tiếp tục làm bài kiểm tra”.</t>
  </si>
  <si>
    <t>Popup đóng; bài thi tiếp tục từ đúng câu đang làm; timer không dừng trong lúc popup mở (theo thiết kế).</t>
  </si>
  <si>
    <t>EXM-ST-06-T2</t>
  </si>
  <si>
    <t>1) Popup thoát đang hiển thị. 2) Chọn “Lưu và thoát”.</t>
  </si>
  <si>
    <t>Tiến độ được lưu; hệ thống chuyển đến màn kết quả.</t>
  </si>
  <si>
    <t>Không lưu dữ liệu, không lưu tiến độ, không xử lý</t>
  </si>
  <si>
    <t>EXM-ST-06-T3</t>
  </si>
  <si>
    <t>1) Popup thoát đang hiển thị. 2) Chọn “Hủy bài kiểm tra và thoát”.</t>
  </si>
  <si>
    <t>Hệ thống lưu bài với điểm 0; không corrupt dữ liệu; không ghi đè kết quả thi tốt trước đó (nếu có).</t>
  </si>
  <si>
    <t>EXM-ST-07-H</t>
  </si>
  <si>
    <t>Xác minh công thức: Điểm = (Số câu đúng / Tổng số câu) x 100</t>
  </si>
  <si>
    <t>1) Hoàn thành bài thi có đủ 3 mode. 2) Xem điểm trên màn kết quả.</t>
  </si>
  <si>
    <t>Điểm = (số câu pass / tổng số câu) × 100; câu phát âm chỉ tính nếu đạt ≥60%; hiển thị đúng.</t>
  </si>
  <si>
    <t>Bài thi hoàn thành</t>
  </si>
  <si>
    <t>EXM-ST-07-T</t>
  </si>
  <si>
    <t>1) Hoàn thành bài thi chỉ có 1 mode. 2) Xem điểm.</t>
  </si>
  <si>
    <t>Công thức tính điểm áp dụng đúng khi chỉ có 1 loại câu hỏi.</t>
  </si>
  <si>
    <t>Bài 1 mode</t>
  </si>
  <si>
    <t>Không có chia mode, mặc định là tất cả mode</t>
  </si>
  <si>
    <t>EXM-ST-07-B</t>
  </si>
  <si>
    <t>1) Hoàn thành bài thi không pass câu nào.</t>
  </si>
  <si>
    <t>Điểm = 0 hiển thị đúng; không lỗi chia-cho-0.</t>
  </si>
  <si>
    <t>Pass 0 câu</t>
  </si>
  <si>
    <t>EXM-ST-07-B2</t>
  </si>
  <si>
    <t>1) Hoàn thành bài thi pass tất cả câu.</t>
  </si>
  <si>
    <t>Điểm = 100 hiển thị đúng.</t>
  </si>
  <si>
    <t>Pass tất cả câu</t>
  </si>
  <si>
    <t>EXM-ST-08-H</t>
  </si>
  <si>
    <t>Đảm bảo lịch sử thi được lưu trữ vĩnh viễn vào hệ thống để theo dõi tiến trình lâu dài</t>
  </si>
  <si>
    <t>1) Hoàn thành bài thi. 2) Quan sát màn kết quả.</t>
  </si>
  <si>
    <t>Bảng thống kê đầy đủ; 3 nút “Làm thêm bài kiểm tra”, “Xem chi tiết đáp án”, “Về trang chủ” hiển thị đúng.</t>
  </si>
  <si>
    <t>Không có đầy đủ các UI cần thiết</t>
  </si>
  <si>
    <t>EXM-ST-08-T1</t>
  </si>
  <si>
    <t>1) Nhấn “Làm thêm bài kiểm tra”.</t>
  </si>
  <si>
    <t>Hệ thống quay về màn cấu hình bài thi (bước 2).</t>
  </si>
  <si>
    <t>Không có làm thêm bài kiểm tra</t>
  </si>
  <si>
    <t>EXM-ST-08-T2</t>
  </si>
  <si>
    <t>1) Nhấn “Xem chi tiết đáp án”. 2) Xem chi tiết. 3) Nhấn “Quay lại”.</t>
  </si>
  <si>
    <t>Trang chi tiết hiển thị đầy đủ câu hỏi + đáp án đã chọn + đáp án đúng. Nút “Quay lại” trở về màn kết quả.</t>
  </si>
  <si>
    <t>Không có xem đáp an chi tiết</t>
  </si>
  <si>
    <t>EXM-ST-08-T3</t>
  </si>
  <si>
    <t>1) Nhấn “Về trang chủ”.</t>
  </si>
  <si>
    <t>Hệ thống chuyển về dashboard.</t>
  </si>
  <si>
    <t>EXM-ST-09-H</t>
  </si>
  <si>
    <t>1) Hoàn thành bài thi. 2) Kiểm tra màn Thống kê / database cập nhật.</t>
  </si>
  <si>
    <t>Kết quả bài thi, tiến độ và statistics được cập nhật chính xác.</t>
  </si>
  <si>
    <t>EXM-ST-09-T</t>
  </si>
  <si>
    <t>1) Thoát bằng “Lưu và thoát”. 2) Kiểm tra dữ liệu đã lưu.</t>
  </si>
  <si>
    <t>Tiến độ tại thời điểm thoát được lưu đúng; không mất dữ liệu.</t>
  </si>
  <si>
    <t>Thoát giữa chừng</t>
  </si>
  <si>
    <t>Không có lưu</t>
  </si>
  <si>
    <t>EXM-ST-09-L</t>
  </si>
  <si>
    <t>1) Hoàn thành bài thi. 2) Mạng mất kết nối khi đang nộp bài.</t>
  </si>
  <si>
    <t>Thông báo lỗi rõ ràng; hệ thống không mất kết quả; cho phép thử lại lưu.</t>
  </si>
  <si>
    <t>Mạng mất khi nộp</t>
  </si>
  <si>
    <t>Không có thông báo</t>
  </si>
  <si>
    <t>1. Đánh giá chung (Overall Assessment)
Trạng thái: Cần chỉnh sửa lớn về mặt Logic và UI. Tỷ lệ lỗi (FAIL) tập trung dày đặc ở các kịch bản thiết lập đầu vào và kết thúc phiên luyện tập.
Điểm mạnh: Core-logic xử lý câu hỏi (Trắc nghiệm, Tự luận, Phát âm) rất ổn định. Việc chấm điểm và tương tác trong lúc làm bài đạt kết quả PASS tuyệt đối.
Vấn đề cốt lõi: Có sự sai lệch nghiêm trọng giữa Đặc tả thiết kế (SRS) và Sản phẩm thực tế. Nhiều tính năng quan trọng như "Ôn từ sai", "Xem chi tiết", và các ràng buộc số lượng từ tối thiểu (ngưỡng 5 từ) chưa được cài đặt hoặc cài đặt sai luồng.
Trải nghiệm người dùng: Hệ thống hiện tại giống như một bản Prototype (mẫu thử) hơn là sản phẩm hoàn chỉnh vì thiếu các tính năng hỗ trợ rà soát lỗi sau khi học.</t>
  </si>
  <si>
    <t>A. Thiết lập và Ràng buộc (PRC-ST-01)
Thất bại hoàn toàn ở luồng Setup: Các bước thực hiện thực tế không khớp với đặc tả (ví dụ: cách chọn từ, chọn mode).
Hổng logic nghiệp vụ: Hệ thống không chặn được việc chọn &lt; 5 từ hoặc không chọn từ nào. Điều này vi phạm quy tắc sư duy học thuật của ứng dụng, dễ dẫn đến lỗi crash ở tầng backend nếu danh sách từ rỗng.
B. Tương tác trong bài tập (PRC-ST-02, 03, 04)
Xử lý input tốt: Hệ thống làm rất tốt việc phân biệt đáp án đúng/sai, xử lý được cả trường hợp input rỗng hoặc đáp án tự luận.
Tính năng Phát âm (Pronunciation): Đây là điểm sáng của module. Tích hợp mic và xử lý lỗi mic hoạt động mượt mà. Tuy nhiên, việc không thể test ngưỡng chính xác 60% (Pending) cho thấy cần một công cụ giả lập điểm số (Mocking tool) cho QA trong tương lai.
Điểm yếu mạng (Network): Khi mất mạng, hệ thống chỉ cho phép quay lại và làm mất trạng thái (state). Điều này gây ức chế cực lớn cho người dùng nếu họ đang ở những câu cuối cùng của một bộ từ vựng dài.
C. Sau luyện tập &amp; Thống kê (PRC-ST-06 -&gt; 09)
Thiếu hụt tính năng (Missing Features): Hầu hết các case liên quan đến "Ôn từ sai" (Error Review) và "Xem chi tiết" (Detailed View) đều FAIL. Người dùng chỉ có thể "Luyện lại" toàn bộ chứ không thể tập trung vào những từ mình còn yếu.
Thống kê sơ sài: Màn hình kết quả không hiển thị được biểu đồ hoặc danh sách đúng/sai rõ ràng như đặc tả yêu cầu.</t>
  </si>
  <si>
    <t>Luyện tập từ vựng</t>
  </si>
  <si>
    <t>PRC-ST-01-H</t>
  </si>
  <si>
    <t>Kiểm tra điều kiện đầu vào (tối thiểu 5 từ) và khả năng kết hợp nhiều chế độ luyện tập</t>
  </si>
  <si>
    <t>1) Nhấn “Practice”. 2) Chọn 10 từ trong danh sách checkbox. 3) Nhấn “Tiếp theo”. 4) Chọn chế độ Trắc nghiệm. 5) Nhấn “Bắt đầu luyện tập”.</t>
  </si>
  <si>
    <t>Hệ thống chuyển sang giao diện làm bài trắc nghiệm với đúng 10 từ đã chọn.</t>
  </si>
  <si>
    <t>Danh sách từ đã học</t>
  </si>
  <si>
    <t>Không đúng với mô tả trong đặc tả, các bước thực hiện đã thay đổi so với đặc tả</t>
  </si>
  <si>
    <t>PRC-ST-01-T</t>
  </si>
  <si>
    <t>1) Chọn 10 từ. 2) Chọn đồng thời cả 3 chế độ (Trắc nghiệm + Tự luận + Phát âm). 3) Nhấn “Bắt đầu luyện tập”.</t>
  </si>
  <si>
    <t>Hệ thống tạo bộ câu hỏi kết hợp cả 3 mode; thứ tự hiển thị đúng thiết kế.</t>
  </si>
  <si>
    <t>PRC-ST-01-L</t>
  </si>
  <si>
    <t>1) Nhấn “Practice”. 2) Không chọn từ nào. 3) Nhấn “Tiếp theo”.</t>
  </si>
  <si>
    <t>Hệ thống hiển thị thông báo yêu cầu chọn tối thiểu 5 từ; không chuyển sang bước tiếp theo.</t>
  </si>
  <si>
    <t>0 từ được chọn</t>
  </si>
  <si>
    <t>PRC-ST-01-B</t>
  </si>
  <si>
    <t>1) Chọn đúng 5 từ (ngưỡng tối thiểu). 2) Chọn 1 chế độ. 3) Nhấn “Bắt đầu luyện tập”.</t>
  </si>
  <si>
    <t>Hệ thống chấp nhận và tạo bộ câu hỏi với 5 từ; không báo lỗi.</t>
  </si>
  <si>
    <t>5 từ được chọn</t>
  </si>
  <si>
    <t>PRC-ST-01-B2</t>
  </si>
  <si>
    <t>1) Chọn 4 từ (dưới ngưỡng). 2) Nhấn “Tiếp theo”.</t>
  </si>
  <si>
    <t>Hệ thống chặn và hiển thị thông báo thiếu từ theo điều khoản thiết kế.</t>
  </si>
  <si>
    <t>4 từ được chọn</t>
  </si>
  <si>
    <t>PRC-ST-02-H</t>
  </si>
  <si>
    <t>Xác minh việc nhận diện đáp án đúng/sai và hiệu ứng highlight phản hồi</t>
  </si>
  <si>
    <t>1) Bắt đầu phiên trắc nghiệm. 2) Chọn đáp án đúng. 3) Quan sát phản hồi.</t>
  </si>
  <si>
    <t>Hệ thống xác nhận đúng ngay lập tức; đáp án đúng được highlight; progress bar tăng; chuyển câu tiếp.</t>
  </si>
  <si>
    <t>Phiên trắc nghiệm ≥5 từ</t>
  </si>
  <si>
    <t>PRC-ST-02-T</t>
  </si>
  <si>
    <t>1) Bắt đầu phiên trắc nghiệm. 2) Chọn đáp án sai. 3) Quan sát phản hồi.</t>
  </si>
  <si>
    <t>Đáp án đúng hiển thị rõ ràng; kết quả sai được ghi nhận cho câu đó.</t>
  </si>
  <si>
    <t>PRC-ST-02-L</t>
  </si>
  <si>
    <t>1) Đang ở giữa phiên. 2) Tắt mạng. 3) Chọn đáp án và gửi. 4) Bật lại mạng.</t>
  </si>
  <si>
    <t>Thông báo mất kết nối; sau khi kết nối lại không bị double-submit hoặc mất trạng thái.</t>
  </si>
  <si>
    <t>Mạng không ổn định</t>
  </si>
  <si>
    <t>Có thông báo lỗi, nhưng chỉ cho quay lại, mất trạng thái</t>
  </si>
  <si>
    <t>PRC-ST-02-B</t>
  </si>
  <si>
    <t>1) Đến câu hỏi cuối cùng trong bộ. 2) Chọn đáp án và xác nhận.</t>
  </si>
  <si>
    <t>Hệ thống chuyển sang màn kết quả tổng hợp; không loop lại từ đầu.</t>
  </si>
  <si>
    <t>Câu cuối trong bộ</t>
  </si>
  <si>
    <t>PRC-ST-03-H</t>
  </si>
  <si>
    <t>Kiểm tra khả năng so sánh chuỗi văn bản (có hoặc không phân biệt hoa thường)</t>
  </si>
  <si>
    <t>1) Bắt đầu phiên tự luận. 2) Nhập đáp án đúng. 3) Nhấn Enter hoặc “Trả lời”.</t>
  </si>
  <si>
    <t>Hiển thị lời chúc mừng; kết quả đúng được ghi nhận; chuyển câu tiếp.</t>
  </si>
  <si>
    <t>Đáp án đúng</t>
  </si>
  <si>
    <t>PRC-ST-03-T</t>
  </si>
  <si>
    <t>1) Nhập đáp án sai. 2) Nhấn “Trả lời”.</t>
  </si>
  <si>
    <t>Hệ thống hiển thị đáp án đúng; ghi nhận kết quả sai.</t>
  </si>
  <si>
    <t>Đáp án sai</t>
  </si>
  <si>
    <t>PRC-ST-03-L</t>
  </si>
  <si>
    <t>1) Để trống input hoặc nhập chỉ khoảng trắng. 2) Nhấn “Trả lời”.</t>
  </si>
  <si>
    <t>Hệ thống ngăn gửi hoặc coi là sai theo thiết kế; không crash.</t>
  </si>
  <si>
    <t>PRC-ST-03-B</t>
  </si>
  <si>
    <t>1) Nhập đúng đáp án nhưng khác hoa/thường (ví dụ “APPLE” thay vì “apple”).</t>
  </si>
  <si>
    <t>Hành vi theo đặc tả so sánh chuỗi (case-sensitive hay không).</t>
  </si>
  <si>
    <t>Đáp án đúng khác case</t>
  </si>
  <si>
    <t>PRC-ST-04-H</t>
  </si>
  <si>
    <t>Kiểm tra tích hợp microphone và thuật toán chấm điểm độ chính xác (&gt;60%)</t>
  </si>
  <si>
    <t>1) Bắt đầu phiên luyện phát âm. 2) Nhấn “Nghe mẫu”. 3) Nhấn “Bắt đầu ghi âm”. 4) Phát âm từ chuẩn.</t>
  </si>
  <si>
    <t>Điểm ≥60% hiển thị là pass; kết quả được ghi nhận đúng.</t>
  </si>
  <si>
    <t>Thiết bị có mic tốt</t>
  </si>
  <si>
    <t>PRC-ST-04-T</t>
  </si>
  <si>
    <t>1) Phát âm sai / không rõ ràng. 2) Nhận điểm &lt;60%.</t>
  </si>
  <si>
    <t>Hệ thống hiển thị kết quả không pass; không crash; học viên có thể tiếp tục câu tiếp.</t>
  </si>
  <si>
    <t>Phát âm không chuẩn</t>
  </si>
  <si>
    <t>PRC-ST-04-L</t>
  </si>
  <si>
    <t>1) Vào phiên phát âm trên thiết bị không có mic hoặc quyền truy cập bị từ chối.</t>
  </si>
  <si>
    <t>Thông báo lỗi microphone thân thiện, gợi ý cách xử lý; không crash phiên.</t>
  </si>
  <si>
    <t>Thiết bị không có mic</t>
  </si>
  <si>
    <t>PRC-ST-04-B</t>
  </si>
  <si>
    <t>1) Phát âm được hệ thống đánh giá đúng bằng 60% (ngưỡng pass).</t>
  </si>
  <si>
    <t>Điểm = 60% được tính là pass theo điều khoản.</t>
  </si>
  <si>
    <t>Khó có thể xảy ra, không thể tuỳ chỉnh để đúng 60%</t>
  </si>
  <si>
    <t>PRC-ST-05-H</t>
  </si>
  <si>
    <t>Đảm bảo dữ liệu luyện tập được đồng bộ hóa với máy chủ ngay sau mỗi câu hỏi</t>
  </si>
  <si>
    <t>1) Hoàn thành 1 câu bất kỳ. 2) Quan sát progress bar và kiểm tra kết quả ghi nhận.</t>
  </si>
  <si>
    <t>Progress bar tăng đúng; kết quả (đúng/sai, điểm, thời gian) được lưu không mất dữ liệu.</t>
  </si>
  <si>
    <t>Phiên đang chạy</t>
  </si>
  <si>
    <t>PRC-ST-05-T</t>
  </si>
  <si>
    <t>1) Hoàn thành phiên kết hợp nhiều mode (trắc nghiệm + tự luận).</t>
  </si>
  <si>
    <t>Kết quả từng mode được ghi nhận độc lập và đúng; thống kê tổng hợp chính xác.</t>
  </si>
  <si>
    <t>Phiên đa mode</t>
  </si>
  <si>
    <t>PRC-ST-05-L</t>
  </si>
  <si>
    <t>1) Trả lời xong 1 câu. 2) Mất mạng trước khi đồng bộ. 3) Kết nối lại.</t>
  </si>
  <si>
    <t>Không bị double-submit; kết quả nhất quán sau khi có mạng.</t>
  </si>
  <si>
    <t>Không thể tạo dựng tình huống vì deploy ở local</t>
  </si>
  <si>
    <t>PRC-ST-06-H</t>
  </si>
  <si>
    <t>Kiểm tra tính minh bạch của điểm số và khả năng rà soát lại lỗi sai</t>
  </si>
  <si>
    <t>1) Làm hết toàn bộ câu hỏi. 2) Xem màn kết quả.</t>
  </si>
  <si>
    <t>Bảng thống kê hiển thị đầy đủ; 3 nút “Luyện lại”, “Ôn từ sai”, “Về trang chủ” hoạt động đúng.</t>
  </si>
  <si>
    <t>Phiên hoàn thành</t>
  </si>
  <si>
    <t>Không theo đặc tả, không xuất hiện ôn từ sai ở cuối</t>
  </si>
  <si>
    <t>PRC-ST-06-T</t>
  </si>
  <si>
    <t>1) Hoàn thành phiên có cả câu đúng lẫn sai. 2) Xem màn kết quả.</t>
  </si>
  <si>
    <t>Thống kê phân biệt rõ số câu đúng và sai; không mâu thuẫn số liệu.</t>
  </si>
  <si>
    <t>Phiên có đúng lẫn sai</t>
  </si>
  <si>
    <t>Không theo đặc tả, không có thống kế đúng/sai</t>
  </si>
  <si>
    <t>PRC-ST-06-B</t>
  </si>
  <si>
    <t>1) Làm đúng toàn bộ câu hỏi. 2) Xem màn kết quả.</t>
  </si>
  <si>
    <t>Nút “Ôn từ sai” vẫn hiển thị; khi nhấn, kích hoạt xử lý ngoại lệ E1 (popup xác nhận).</t>
  </si>
  <si>
    <t>Phiên all-correct</t>
  </si>
  <si>
    <t>Không có ôn từ sai</t>
  </si>
  <si>
    <t>PRC-ST-07-H</t>
  </si>
  <si>
    <t>Xác minh tính năng lọc dữ liệu thông minh (chỉ lấy những từ đã làm sai để luyện tập lại)</t>
  </si>
  <si>
    <t>1) Từ màn kết quả, nhấn “Luyện lại”.</t>
  </si>
  <si>
    <t>Hệ thống tạo phiên mới với cùng danh sách từ và chế độ đã chọn; không yêu cầu chọn lại từ đầu.</t>
  </si>
  <si>
    <t>Màn kết quả</t>
  </si>
  <si>
    <t>PRC-ST-07-T</t>
  </si>
  <si>
    <t>1) Nhấn “Luyện lại” nhiều lần liên tiếp sau mỗi phiên.</t>
  </si>
  <si>
    <t>Mỗi lần đều tạo phiên mới đúng cấu hình; không tích lũy lỗi hay dữ liệu thừa.</t>
  </si>
  <si>
    <t>PRC-ST-08-H</t>
  </si>
  <si>
    <t>1) Hoàn thành phiên có ít nhất 1 câu sai. 2) Nhấn “Ôn từ sai”.</t>
  </si>
  <si>
    <t>Bộ câu hỏi mới chỉ chứa các từ đã trả lời sai trong phiên vừa rồi.</t>
  </si>
  <si>
    <t>Phiên có câu sai</t>
  </si>
  <si>
    <t>không có ôn từ sai</t>
  </si>
  <si>
    <t>PRC-ST-08-L</t>
  </si>
  <si>
    <t>1) Hoàn thành phiên với tất cả câu đúng. 2) Nhấn “Ôn từ sai”.</t>
  </si>
  <si>
    <t>Popup thông báo “Bạn đã làm đúng hết bộ từ vựng, bạn có muốn ôn tập lại toàn bộ?” hiển thị đúng.</t>
  </si>
  <si>
    <t>PRC-ST-08-L-Yes</t>
  </si>
  <si>
    <t>Tiếp theo PRC-ST-08-L: Chọn “Có” trong popup.</t>
  </si>
  <si>
    <t>Hệ thống quay lại bước 6 — tạo bộ câu hỏi với toàn bộ từ vựng đã chọn ban đầu.</t>
  </si>
  <si>
    <t>PRC-ST-08-L-No</t>
  </si>
  <si>
    <t>Tiếp theo PRC-ST-08-L: Chọn “Không” trong popup.</t>
  </si>
  <si>
    <t>Popup đóng; hệ thống quay lại màn kết quả (bước 10).</t>
  </si>
  <si>
    <t>PRC-ST-09-H</t>
  </si>
  <si>
    <t>1) Từ màn kết quả, nhấn “Xem chi tiết”. 2) Đọc lại các câu đã làm. 3) Nhấn “Quay lại”.</t>
  </si>
  <si>
    <t>Trang chi tiết hiển thị đầy đủ câu hỏi, đáp án đã chọn và đáp án đúng. Nút “Quay lại” dẫn về màn kết quả.</t>
  </si>
  <si>
    <t>Không có xem chi tiết</t>
  </si>
  <si>
    <t>PRC-ST-09-L</t>
  </si>
  <si>
    <t>1) Nhấn “Xem chi tiết” khi dữ liệu chi tiết không tải được.</t>
  </si>
  <si>
    <t>Thông báo lỗi rõ ràng; không mất điều hướng; có thể quay lại màn kết quả.</t>
  </si>
  <si>
    <t>Lỗi tải dữ liệu</t>
  </si>
  <si>
    <t>Trạng thái hệ thống: Nghiêm trọng (Critical). Module Flashcard hiện tại đang ở trạng thái "liệt" các tính năng nghiệp vụ chính. Mặc dù phần giao diện cơ bản và hiệu ứng lật thẻ (Animation) hoạt động tốt, nhưng luồng xử lý dữ liệu và logic học tập gần như hoàn toàn thất bại.
Tỷ lệ lỗi (FAIL): Khoảng 70% số test case bị đánh dấu FAIL. Đặc biệt, lỗi hệ thống không có phần Footer (nút Đã thuộc/Chưa thuộc) dẫn đến việc đứt gãy toàn bộ chuỗi tính năng phía sau (không chuyển câu, không tính progress, không có màn hình tổng kết).
Nguyên nhân chính: Có sự thiếu hụt lớn về mặt phát triển tính năng (Missing Features) so với đặc tả (SRS). Hệ thống hiện tại chỉ mới dừng lại ở mức "Xem từ vựng" chứ chưa đạt mức "Học từ vựng".</t>
  </si>
  <si>
    <t>A. Giao diện và Hiệu ứng (UI/UX &amp; Animation)
Điểm sáng: Hiệu ứng lật thẻ (Flip animation) mượt mà (&lt;300ms) và chính xác.
Hệ thống âm thanh (Audio) và hiển thị ảnh minh họa cơ bản hoạt động tốt.
Điều hướng từ trang chủ vào đến Flashcard chạy đúng luồng (/courses -&gt; /topics -&gt; /flashcard).
Điểm mù: Thiếu hoàn toàn Footer điều hướng trong thẻ, khiến người dùng bị "kẹt" tại một từ duy nhất mà không có cách nào để báo cho hệ thống là mình đã thuộc hay chưa.
B. Logic học tập và Phân loại (Core Logic)
Vấn đề lớn nhất: Do thiếu nút bấm "Đã thuộc/Chưa thuộc", hệ thống không thể ghi nhận trạng thái learned. Điều này kéo theo:
Thanh tiến trình (Progress Bar) luôn đứng yên hoặc hoạt động sai.
Không có màn hình Tổng kết (Summary screen) vì phiên học không bao giờ kết thúc theo cách chính thống.
Tính năng Yêu thích (Favorite): Nút yêu thích có hiển thị nhưng không có tác dụng thực tế (không lưu vào DB, không có animation phản hồi). Đây là lỗi về mặt tích hợp giữa Front-end và Back-end API.
C. Xử lý ngoại lệ và Lưu trữ (Exception Handling)
Dữ liệu trống: Hệ thống không xử lý trường hợp chủ đề rỗng, gây ra trải nghiệm xấu khi người dùng vào một trang trắng hoặc không có phản hồi.
Lưu tiến độ (Persistence): Tính năng lưu tiến độ khi thoát đột ngột (X) hoàn toàn không có. Người dùng sẽ mất toàn bộ công sức học nếu vô tình đóng trình duyệt hoặc nhấn thoát.
Xử lý mạng: Không có cơ chế Retry hoặc thông báo lỗi khi mất kết nối trong lúc lưu trạng thái "Yêu thích" hoặc "Tiến độ".</t>
  </si>
  <si>
    <t>Học từ vựng bằng flashcard</t>
  </si>
  <si>
    <t>FLC-ST-01-H</t>
  </si>
  <si>
    <t>Xác nhận luồng đi từ trang chủ đến màn hình học Flashcard và khả năng xử lý khi dữ liệu trống</t>
  </si>
  <si>
    <t>1) Nhấn “Học tập” trên sidebar. 2) Chọn một khóa học. 3) Chọn một chủ đề có từ vựng. 4) Xem danh sách từ. 5) Nhấn “Flashcard”.</t>
  </si>
  <si>
    <t>Hệ thống chuyển hướng đúng /courses → /topics → giao diện Flashcard với layout đầy đủ (header, thẻ, footer).</t>
  </si>
  <si>
    <t>User đã học, database có từ vựng</t>
  </si>
  <si>
    <t>FLC-ST-01-L</t>
  </si>
  <si>
    <t>1) Chọn một chủ đề không có từ vựng nào trong database. 2) Nhấn “Flashcard”.</t>
  </si>
  <si>
    <t>Hiển thị thông báo “Chủ đề này đang được cập nhật”; redirect về topic selection; không crash.</t>
  </si>
  <si>
    <t>Chủ đề rỗng</t>
  </si>
  <si>
    <t>Không thông báo chủ đề rỗng, không redirect</t>
  </si>
  <si>
    <t>FLC-ST-01-B</t>
  </si>
  <si>
    <t>1) Vào khóa học chỉ có đúng 1 chủ đề. 2) Chọn chủ đề đó. 3) Nhấn “Flashcard”.</t>
  </si>
  <si>
    <t>Hệ thống vào được flashcard bình thường; không lỗi điều hướng.</t>
  </si>
  <si>
    <t>Khóa học 1 chủ đề</t>
  </si>
  <si>
    <t>FLC-ST-02-H</t>
  </si>
  <si>
    <t>Đảm bảo tất cả các thành phần giao diện (nút bấm, thanh tiến trình) hiển thị đúng vị trí và đầy đủ thông tin</t>
  </si>
  <si>
    <t>1) Vào phiên flashcard. 2) Quan sát toàn bộ layout.</t>
  </si>
  <si>
    <t>Header: tên chủ đề, progress indicator (Từ 1/X), nút Thoát (X). Thẻ chính: từ tiếng Anh, phiên âm IPA, nút phát âm, nút “Lật thẻ”, nút “Yêu thích”. Footer: nút “Đã thuộc”, “Chưa thuộc”.</t>
  </si>
  <si>
    <t>Chủ đề có ≥1 từ</t>
  </si>
  <si>
    <t>Trong flashcard không có footer</t>
  </si>
  <si>
    <t>FLC-ST-02-B</t>
  </si>
  <si>
    <t>1) Vào flashcard. 2) Quan sát từ đầu tiên và từ cuối cùng.</t>
  </si>
  <si>
    <t>Progress indicator hiển thị đúng “Từ 1/X” ở đầu và “Từ X/X” ở cuối; không lỗi hiển thị tại biên.</t>
  </si>
  <si>
    <t>Session bất kỳ</t>
  </si>
  <si>
    <t>FLC-ST-03-H</t>
  </si>
  <si>
    <t>Kiểm tra tính mượt mà của hiệu ứng lật và sự chính xác của nội dung ở hai mặt thẻ</t>
  </si>
  <si>
    <t>1) Đang xem mặt trước của thẻ. 2) Nhấn “Lật thẻ”.</t>
  </si>
  <si>
    <t>Thẻ lật hiển thị mặt sau (nghĩa/ví dụ); flip animation mượt mà &lt;300ms.</t>
  </si>
  <si>
    <t>Thẻ bất kỳ</t>
  </si>
  <si>
    <t>FLC-ST-03-T</t>
  </si>
  <si>
    <t>1) Đang xem mặt sau. 2) Nhấn “Lật thẻ” lần 2.</t>
  </si>
  <si>
    <t>Thẻ lật lại mặt trước chính xác; nội dung không bị lẫn lộn.</t>
  </si>
  <si>
    <t>FLC-ST-03-L</t>
  </si>
  <si>
    <t>1) Nhấn “Lật thẻ” nhanh liên tiếp nhiều lần.</t>
  </si>
  <si>
    <t>Animation không bị kẹt; trạng thái thẻ nhất quán sau khi kết thúc thao tác.</t>
  </si>
  <si>
    <t>FLC-ST-04-H</t>
  </si>
  <si>
    <t>Xác minh logic phân loại từ vựng và khả năng tự động chuyển câu hỏi</t>
  </si>
  <si>
    <t>1) Xem thẻ flashcard. 2) Nhấn “Đã thuộc”.</t>
  </si>
  <si>
    <t>Từ được đánh dấu “learned”; progress bar tăng 1 đơn vị; hệ thống chuyển sang từ tiếp theo ngay lập tức.</t>
  </si>
  <si>
    <t>Session đang chạy</t>
  </si>
  <si>
    <t>Do không có footer đã thuộc/chưa thuộc</t>
  </si>
  <si>
    <t>FLC-ST-04-T</t>
  </si>
  <si>
    <t>1) Nhấn “Đã thuộc” liên tiếp cho nhiều từ.</t>
  </si>
  <si>
    <t>Mỗi từ được ghi nhận độc lập; progress bar tăng dần đúng; không bị skip hay lặp từ.</t>
  </si>
  <si>
    <t>Session nhiều từ</t>
  </si>
  <si>
    <t>FLC-ST-04-B</t>
  </si>
  <si>
    <t>1) Nhấn “Đã thuộc” ở từ cuối cùng trong session.</t>
  </si>
  <si>
    <t>Hệ thống chuyển sang summary screen; không loop lại từ đầu.</t>
  </si>
  <si>
    <t>Từ cuối session</t>
  </si>
  <si>
    <t>FLC-ST-05-H</t>
  </si>
  <si>
    <t>1) Xem thẻ flashcard. 2) Nhấn “Chưa thuộc”.</t>
  </si>
  <si>
    <t>Hệ thống chuyển sang từ tiếp theo; không đánh dấu “learned” cho từ đó.</t>
  </si>
  <si>
    <t>FLC-ST-05-T</t>
  </si>
  <si>
    <t>1) Nhấn “Chưa thuộc” cho tất cả từ trong session. 2) Xem summary screen.</t>
  </si>
  <si>
    <t>Summary phản ánh đúng: số từ đã học = 0, số từ chưa thuộc = tổng số từ.</t>
  </si>
  <si>
    <t>FLC-ST-06-H</t>
  </si>
  <si>
    <t>Kiểm tra tính năng đánh dấu và lưu trữ từ vựng quan trọng vào danh sách riêng</t>
  </si>
  <si>
    <t>1) Đang xem flashcard một từ. 2) Nhấn biểu tượng “Yêu thích”.</t>
  </si>
  <si>
    <t>Icon star đổi màu vàng kèm animation; toast “Đã thêm vào yêu thích” hiển thị rồi tự mất; từ xuất hiện trong danh sách “Từ yêu thích”.</t>
  </si>
  <si>
    <t>Từ chưa yêu thích</t>
  </si>
  <si>
    <t>Button yêu thích không có tác dụng, không đánh dấu được</t>
  </si>
  <si>
    <t>FLC-ST-06-T</t>
  </si>
  <si>
    <t>1) Nhấn “Yêu thích” lần 2 trên cùng từ (bỏ yêu thích, nếu thiết kế hỗ trợ).</t>
  </si>
  <si>
    <t>Icon star trở về màu cũ; từ bị xóa khỏi danh sách yêu thích.</t>
  </si>
  <si>
    <t>Từ đã yêu thích</t>
  </si>
  <si>
    <t>FLC-ST-06-L</t>
  </si>
  <si>
    <t>1) Nhấn “Yêu thích”. 2) Mạng mất kết nối trước khi lưu xong. 3) Kết nối lại.</t>
  </si>
  <si>
    <t>Trạng thái yêu thích nhất quán sau khi có mạng; không lưu trùng hoặc mất trạng thái.</t>
  </si>
  <si>
    <t>FLC-ST-06-B</t>
  </si>
  <si>
    <t>1) Nhấn “Yêu thích” ở từ cuối cùng trong session.</t>
  </si>
  <si>
    <t>Yêu thích được lưu đúng; session vẫn kết thúc bình thường sau đó.</t>
  </si>
  <si>
    <t>FLC-ST-07-H</t>
  </si>
  <si>
    <t>Đảm bảo âm thanh mẫu phát chính xác, không trễ và có thông báo khi dịch vụ âm thanh lỗi</t>
  </si>
  <si>
    <t>1) Vào flashcard. 2) Nhấn nút phát âm. 3) Đo thời gian từ lúc nhấn đến khi audio bắt đầu.</t>
  </si>
  <si>
    <t>Audio phát ngay lập tức nhờ preload; không có độ trễ đáng kể.</t>
  </si>
  <si>
    <t>Thiết bị hỗ trợ audio</t>
  </si>
  <si>
    <t>FLC-ST-07-T</t>
  </si>
  <si>
    <t>1) Nhấn nút phát âm nhanh nhiều lần liên tiếp.</t>
  </si>
  <si>
    <t>Hành vi theo thiết kế (phát lại từ đầu hoặc xếp hàng); không gây lỗi âm thanh chồng chéo.</t>
  </si>
  <si>
    <t>FLC-ST-07-L</t>
  </si>
  <si>
    <t>1) Vào flashcard khi Audio Service lỗi hoặc không load được. 2) Quan sát nút phát âm.</t>
  </si>
  <si>
    <t>Nút phát âm ở trạng thái disabled; tooltip “Âm thanh không khả dụng” hiển thị; học viên vẫn học được bình thường.</t>
  </si>
  <si>
    <t>Audio Service lỗi</t>
  </si>
  <si>
    <t>Không thông báo âm thanh không khả dụng</t>
  </si>
  <si>
    <t>FLC-ST-08-H</t>
  </si>
  <si>
    <t>Kiểm tra cơ chế hiển thị ảnh thay thế (placeholder) khi hình ảnh minh họa không tải được</t>
  </si>
  <si>
    <t>1) Vào flashcard có ảnh minh họa. 2) Quan sát ảnh tải.</t>
  </si>
  <si>
    <t>Ảnh hiển thị đúng và rõ nét; không ảnh hưởng các thành phần khác.</t>
  </si>
  <si>
    <t>Flashcard có ảnh</t>
  </si>
  <si>
    <t>FLC-ST-08-L</t>
  </si>
  <si>
    <t>1) Vào flashcard khi File Storage Service không load được ảnh.</t>
  </si>
  <si>
    <t>Placeholder image hiển thị thay thế; flow học tập không bị gián đoạn; không báo lỗi toàn trang.</t>
  </si>
  <si>
    <t>Storage lỗi</t>
  </si>
  <si>
    <t>Không có ảnh thay thế</t>
  </si>
  <si>
    <t>FLC-ST-09-H</t>
  </si>
  <si>
    <t>Xác nhận thanh tiến trình cập nhật chính xác theo thời gian thực</t>
  </si>
  <si>
    <t>1) Bắt đầu session. 2) Đi qua lần lượt các từ xen kẽ “Đã thuộc” và “Chưa thuộc”. 3) Quan sát progress sau mỗi từ.</t>
  </si>
  <si>
    <t>Chỉ số “Từ N/X” tăng đúng sau mỗi lần chuyển từ; progress bar phản ánh đúng tỉ lệ.</t>
  </si>
  <si>
    <t>Session ≥5 từ</t>
  </si>
  <si>
    <t>Do không có footer đã thuộc</t>
  </si>
  <si>
    <t>FLC-ST-09-B</t>
  </si>
  <si>
    <t>1) Vào session chỉ có 1 từ. 2) Nhấn “Đã thuộc”.</t>
  </si>
  <si>
    <t>Progress hiển thị “Từ 1/1”; sau khi nhấn, chuyển thẳng sang summary screen.</t>
  </si>
  <si>
    <t>Session 1 từ</t>
  </si>
  <si>
    <t>FLC-ST-09-B2</t>
  </si>
  <si>
    <t>1) Vào session đúng X từ (giới hạn tối đa). 2) Đi qua tất cả từ.</t>
  </si>
  <si>
    <t>Progress bar hiển thị đúng từ 1/X đến X/X; không lỗi hiển thị tại giới hạn.</t>
  </si>
  <si>
    <t>Session X từ</t>
  </si>
  <si>
    <t>FLC-ST-10-H</t>
  </si>
  <si>
    <t>Đảm bảo bảng tổng kết cuối phiên hiển thị đúng số liệu và điều hướng đúng</t>
  </si>
  <si>
    <t>1) Hoàn thành toàn bộ từ trong session (kết hợp Đã thuộc / Chưa thuộc / Yêu thích). 2) Xem summary screen.</t>
  </si>
  <si>
    <t>Summary hiển thị đúng: số từ đã học, chưa thuộc, yêu thích; Congratulations message; 2 nút “Học chủ đề khác” và “Về trang chủ” điều hướng đúng.</t>
  </si>
  <si>
    <t>Session hoàn thành</t>
  </si>
  <si>
    <t>Không có footer nên không có luồng thực hiện</t>
  </si>
  <si>
    <t>FLC-ST-10-T</t>
  </si>
  <si>
    <t>1) Nhấn “Học chủ đề khác” từ summary screen.</t>
  </si>
  <si>
    <t>Hệ thống quay về trang chọn chủ đề (/topics).</t>
  </si>
  <si>
    <t>Summary screen</t>
  </si>
  <si>
    <t>Không hoạt động đúng đặc tả</t>
  </si>
  <si>
    <t>FLC-ST-10-B</t>
  </si>
  <si>
    <t>1) Hoàn thành session với tất cả từ được nhấn “Đã thuộc”.</t>
  </si>
  <si>
    <t>Summary: số từ chưa thuộc = 0; không lỗi hiển thị khi giá trị bằng 0.</t>
  </si>
  <si>
    <t>Session all-correct</t>
  </si>
  <si>
    <t>Không có footer đã thuộc</t>
  </si>
  <si>
    <t>FLC-ST-10-B2</t>
  </si>
  <si>
    <t>1) Hoàn thành session với tất cả từ được nhấn “Chưa thuộc”.</t>
  </si>
  <si>
    <t>Summary: số từ đã học = 0; không lỗi hiển thị khi giá trị bằng 0.</t>
  </si>
  <si>
    <t>Session all-wrong</t>
  </si>
  <si>
    <t>Không có footer chưa thuộc</t>
  </si>
  <si>
    <t>FLC-ST-11-H</t>
  </si>
  <si>
    <t>Kiểm tra tính năng lưu trữ tiến độ học tập khi người dùng đóng ứng dụng đột ngột</t>
  </si>
  <si>
    <t>1) Đang học dở session. 2) Nhấn nút “X”.</t>
  </si>
  <si>
    <t>Dialog xác nhận hiển thị đúng nội dung “Bạn có muốn lưu tiến độ?” với 2 lựa chọn Có / Không.</t>
  </si>
  <si>
    <t>Đang ở giữa session</t>
  </si>
  <si>
    <t>Không có thông báo, không lưu tiến trình</t>
  </si>
  <si>
    <t>FLC-ST-11-T1</t>
  </si>
  <si>
    <t>1) Dialog thoát đang hiển thị. 2) Chọn “Có”.</t>
  </si>
  <si>
    <t>Progress được lưu; hệ thống về topic selection; không mất dữ liệu đã học trong session.</t>
  </si>
  <si>
    <t>FLC-ST-11-T2</t>
  </si>
  <si>
    <t>1) Dialog thoát đang hiển thị. 2) Chọn “Không”.</t>
  </si>
  <si>
    <t>Progress bị hủy (discard); không lưu bất kỳ thay đổi nào; hệ thống thoát theo thiết kế.</t>
  </si>
  <si>
    <t>FLC-ST-11-L</t>
  </si>
  <si>
    <t>1) Chọn “Có” để lưu progress. 2) Mạng mất kết nối trong lúc lưu.</t>
  </si>
  <si>
    <t>Hệ thống thông báo lỗi lưu; cho phép thử lại hoặc thoát không lưu; không corrupt dữ liệu cũ.</t>
  </si>
  <si>
    <t>Chat Bot</t>
  </si>
  <si>
    <t>Nguyễn Quý Hạnh</t>
  </si>
  <si>
    <t>Chatbot hoạt động thông minh, phản hồi nhanh và chính xác. Cần cải thiện khả năng xử lý ngoại lệ và thông báo lỗi khi gặp dữ liệu đầu vào không hợp lệ.</t>
  </si>
  <si>
    <t>Tỷ lệ Pass là 80.65% (25/29). Lỗi nghiêm trọng nhất là hệ thống bị treo khi tra cứu từ không tồn tại. Một số case Negative khó thực hiện đầy đủ do giới hạn của môi trường localhost.</t>
  </si>
  <si>
    <t>Chatbot</t>
  </si>
  <si>
    <t>CB-ST-01-H</t>
  </si>
  <si>
    <t>Truy cập Chatbot khi chưa / đã đăng nhập</t>
  </si>
  <si>
    <t>1) Đăng nhập hợp lệ. 2) Mở mục Chatbot từ menu.</t>
  </si>
  <si>
    <t>Vào được màn E-Vocab Chat Coach (hoặc tên hiển thị tương đương).</t>
  </si>
  <si>
    <t>CB-ST-01-L</t>
  </si>
  <si>
    <t>1) Không đăng nhập (hoặc xóa token). 2) Truy cập URL trang Chatbot.</t>
  </si>
  <si>
    <t>Chuyển hướng tới đăng nhập hoặc từ chối truy cập theo chính sách.</t>
  </si>
  <si>
    <t>CB-ST-01-T</t>
  </si>
  <si>
    <t>1) Đang ở màn Chatbot với phiên sắp hết hạn. 2) Gửi một tin nhắn khi token đã hết hạn.</t>
  </si>
  <si>
    <t>Hệ thống yêu cầu đăng nhập lại hoặc không tiếp tục với phiên không hợp lệ.</t>
  </si>
  <si>
    <t>CB-ST-01-B</t>
  </si>
  <si>
    <t>1) Hai tab cùng trình duyệt: tab 1 đăng xuất, tab 2 vẫn mở Chatbot. 2) Thao tác gửi tin trên tab 2.</t>
  </si>
  <si>
    <t>Hành vi nhất quán với xác thực; không hiển thị dữ liệu sai người dùng.</t>
  </si>
  <si>
    <t>Chat không được đồng bộ ngay lập tức, chỉ đồng bộ lại khi quay lại trang chat bot 1 lần nữa</t>
  </si>
  <si>
    <t>CB-ST-02-H</t>
  </si>
  <si>
    <t>Tải lịch sử khi vào màn hình</t>
  </si>
  <si>
    <t>1) Tài khoản đã có vài lượt hội thoại đã lưu. 2) Mở Chatbot và chờ hết trạng thái tải.</t>
  </si>
  <si>
    <t>Tin hiển thị đúng thứ tự thời gian; phân biệt được tin người dùng và trợ lý.</t>
  </si>
  <si>
    <t>username: hanh61451@gmail.com</t>
  </si>
  <si>
    <t>CB-ST-02-T</t>
  </si>
  <si>
    <t>1) Tài khoản mới, chưa chat. 2) Mở Chatbot.</t>
  </si>
  <si>
    <t>Hiển thị trạng thái rỗng / lời mời gửi tin đầu tiên; không báo lỗi giả.</t>
  </si>
  <si>
    <t>username: hanh671@gmail.com
pass: Hanh16090204.</t>
  </si>
  <si>
    <t>CB-ST-02-L</t>
  </si>
  <si>
    <t>1) Giả lập backend lịch sử không phản hồi. 2) Mở Chatbot.</t>
  </si>
  <si>
    <t>Có thông báo lỗi hoặc trạng thái thất bại rõ; không trắng trang vĩnh viễn.</t>
  </si>
  <si>
    <t>Lập tức quay về trang đăng nhập</t>
  </si>
  <si>
    <t>CB-ST-03-H</t>
  </si>
  <si>
    <t>Gửi tin — tra từ (nghĩa, phiên âm, định nghĩa)</t>
  </si>
  <si>
    <t>1) Gửi yêu cầu tra một từ tiếng Anh phổ biến. 2) Đọc bubble trợ lý.</t>
  </si>
  <si>
    <t>Có đủ thông tin theo thiết kế (từ, phiên âm, nghĩa/định nghĩa…).</t>
  </si>
  <si>
    <t>username: hanh61451@gmail.com
prompt: từ population là gì</t>
  </si>
  <si>
    <t>CB-ST-03-L</t>
  </si>
  <si>
    <t>1) Gửi yêu cầu tra từ không tồn tại hoặc chuỗi vô nghĩa. 2) Quan sát phản hồi.</t>
  </si>
  <si>
    <t>Thông báo không tìm thấy hoặc không phân tích được; không crash.</t>
  </si>
  <si>
    <t>username: hanh61451@gmail.com
prompt: từ sdlkfjsjdlf là gì</t>
  </si>
  <si>
    <t>CB-ST-04-H</t>
  </si>
  <si>
    <t>Gửi tin — phát âm</t>
  </si>
  <si>
    <t>1) Gửi yêu cầu phát âm cho từ có audio trong từ điển. 2) Bấm nút nghe (nếu có).</t>
  </si>
  <si>
    <t>Có nội dung hướng dẫn; audio phát được hoặc có thông báo rõ nếu trình duyệt chặn.</t>
  </si>
  <si>
    <t>username: hanh61451@gmail.com
prompt: cho tôi cách đọc</t>
  </si>
  <si>
    <t>CB-ST-04-T</t>
  </si>
  <si>
    <t>1) Yêu cầu phát âm từ không có URL audio. 2) Quan sát bubble.</t>
  </si>
  <si>
    <t>Vẫn có phiên âm chữ / gợi ý thay thế theo thiết kế.</t>
  </si>
  <si>
    <t>CB-ST-05-H</t>
  </si>
  <si>
    <t>Ý định nghiệp vụ phụ: chào hỏi, hỏi chức năng, giới thiệu nền tảng</t>
  </si>
  <si>
    <t>1) Gửi “chào”, “bạn làm gì được”, “E-Vocab là gì” lần lượt.</t>
  </si>
  <si>
    <t>Mỗi ý nhận phản hồi phù hợp nhóm chức năng đã thiết kế.</t>
  </si>
  <si>
    <t>username: hanh61451@gmail.com
prompt: E-Vocab là gì</t>
  </si>
  <si>
    <t>chatbot lặp lại câu nói gần đây nhất  thay vì tạo ra câu mới</t>
  </si>
  <si>
    <t>CB-ST-06-H</t>
  </si>
  <si>
    <t>Câu ngoài phạm vi / không hiểu</t>
  </si>
  <si>
    <t>1) Gửi câu không liên quan học từ vựng.</t>
  </si>
  <si>
    <t>Phản hồi mời làm rõ hoặc từ chối lịch sự; không trả lời bừa như tra từ.</t>
  </si>
  <si>
    <t>username: hanh61451@gmail.com
prompt: Bạn có biết Đạt là ai không</t>
  </si>
  <si>
    <t>CB-ST-07-H</t>
  </si>
  <si>
    <t>Tin nhắn rỗng / không hợp lệ</t>
  </si>
  <si>
    <t>1) Để trống hoặc chỉ khoảng trắng. 2) Thử gửi (nút Gửi / Enter).</t>
  </si>
  <si>
    <t>Không tạo tin rỗng trên luồng chính; nút gửi vô hiệu hoặc không có tác dụng theo thiết kế.</t>
  </si>
  <si>
    <t xml:space="preserve">username: hanh61451@gmail.com
prompt: </t>
  </si>
  <si>
    <t>CB-ST-07-B</t>
  </si>
  <si>
    <t>1) Nhập chuỗi dài tới giới hạn ô nhập. 2) Gửi.</t>
  </si>
  <si>
    <t>Hệ thống chấp nhận trong giới hạn hoặc báo vượt quá; không lỗi im lặng.</t>
  </si>
  <si>
    <t>username: hanh61451@gmail.com
prompt: cho tôi phiên âm và cách phát âm của 1 từ ngẫu nhiêncho tôi phiên âm và cách phát âm của 1 từ ngẫu nhiêncho tôi phiên âm và cách phát âm của 1 từ ngẫu nhiêncho tôi phiên âm và cách phát âm của 1 từ ngẫu nhiêncho tôi phiên âm và cách phát âm của 1 từ ngẫu nhiêncho tôi phiên âm và cách phát âm của 1 từ ngẫu nhiêncho tôi phiên âm và cách phát âm của 1 từ ngẫu nhiêncho tôi phiên âm và cách phát âm của 1 từ ngẫu nhiêncho tôi phiên âm và cách phát âm của 1 từ ngẫu nhiêncho tôi phiên âm và cách phát âm</t>
  </si>
  <si>
    <t>CB-ST-08-H</t>
  </si>
  <si>
    <t>Ngữ cảnh từ (hỏi tiếp không nhắc lại từ)</t>
  </si>
  <si>
    <t>1) Tra từ X thành công. 2) Gửi tiếp “cách đọc” hoặc “nghĩa là gì” không nhắc X.</t>
  </si>
  <si>
    <t>Trợ lý ám chỉ đúng từ X.</t>
  </si>
  <si>
    <t>username: hanh61451@gmail.com
prompt: Từ prompt / nghĩa của nó là gì</t>
  </si>
  <si>
    <t>Có thể vẫn cho qua vì nó cho output giống y hệt nhau, output ban đầu đã bao gồm cả từ, phiên âm, nghĩa và định nghĩa</t>
  </si>
  <si>
    <t>CB-ST-08-T</t>
  </si>
  <si>
    <t>1) Mở phiên mới / chưa tra từ nào. 2) Gửi “cách đọc” không kèm từ.</t>
  </si>
  <si>
    <t>Bot hỏi lại hoặc đưa ví dụ cách hỏi.</t>
  </si>
  <si>
    <t>1. Chat này không chia ra làm nhiều phiên được
2. Bot sẽ dùng từ gần nhất để đưa ra phát âm của nó</t>
  </si>
  <si>
    <t>CB-ST-09-H</t>
  </si>
  <si>
    <t>Quiz — điều kiện tạo đề</t>
  </si>
  <si>
    <t>1) Đảm bảo kho từ đủ điều kiện. 2) Gửi yêu cầu làm quiz.</t>
  </si>
  <si>
    <t>Nhận lời mời và (theo UI) có thể bắt đầu bài với số câu hợp lệ.</t>
  </si>
  <si>
    <t>username: hanh61451@gmail.com
prompt: tôi muốn làm một bài quiz</t>
  </si>
  <si>
    <t>CB-ST-10-H</t>
  </si>
  <si>
    <t>Quiz — luồng làm bài</t>
  </si>
  <si>
    <t>1) Chấp nhận quiz. 2) Trả lời tất cả câu đúng. 3) Đọc tổng kết.</t>
  </si>
  <si>
    <t>Tổng kết ghi nhận đúng 100%; không thiếu câu.</t>
  </si>
  <si>
    <t>username: hanh61451@gmail.com
prompt: tôi muốn làm một bài quiz
sau đó bấm chấp nhận</t>
  </si>
  <si>
    <t>CB-ST-10-T</t>
  </si>
  <si>
    <t>1) Làm quiz có cả đúng và sai. 2) Xem từng phản hồi và tổng kết.</t>
  </si>
  <si>
    <t>Số câu đúng khớp; phần “cần xem lại” liệt kê câu sai.</t>
  </si>
  <si>
    <t>CB-ST-11-H</t>
  </si>
  <si>
    <t>Quiz — hoãn / hủy lời mời</t>
  </si>
  <si>
    <t>1) Nhận lời mời quiz. 2) Chọn Để sau / hủy lời mời.</t>
  </si>
  <si>
    <t>Quay về chat bình thường; có tin phản hồi phù hợp.</t>
  </si>
  <si>
    <t>username: hanh61451@gmail.com
prompt: tôi muốn làm một bài quiz
sau đó bấm từ chối</t>
  </si>
  <si>
    <t>CB-ST-11-T</t>
  </si>
  <si>
    <t>1) Để sau. 2) Gửi lại yêu cầu quiz.</t>
  </si>
  <si>
    <t>Tạo lời mời/quiz mới không lỗi.</t>
  </si>
  <si>
    <t>username: hanh61451@gmail.com
prompt: tôi muốn làm một bài quiz
sau đó bấm từ chối, sau đó gửi prompt tương tự</t>
  </si>
  <si>
    <t>CB-ST-12-H</t>
  </si>
  <si>
    <t>Xóa lịch sử</t>
  </si>
  <si>
    <t>1) Có tin trong khung chat. 2) Bấm Dọn cuộc trò chuyện. 3) Xác nhận Xóa.</t>
  </si>
  <si>
    <t>Khung chat trống; trạng thái quiz tạm trên client (nếu có) được xóa theo thiết kế.</t>
  </si>
  <si>
    <t>CB-ST-12-T</t>
  </si>
  <si>
    <t>1) Mở hộp thoại xóa. 2) Chọn Hủy.</t>
  </si>
  <si>
    <t>Lịch sử giữ nguyên.</t>
  </si>
  <si>
    <t>CB-ST-12-L</t>
  </si>
  <si>
    <t>1) Giả lập API xóa thất bại. 2) Xác nhận Xóa.</t>
  </si>
  <si>
    <t>Lịch sử không bị mất một phần không nhất quán; có phản hồi lỗi nếu thiết kế có.</t>
  </si>
  <si>
    <t>username: hanh61451@gmail.com
chặn url trong devtools</t>
  </si>
  <si>
    <t>CB-ST-12-B</t>
  </si>
  <si>
    <t>1) Không có tin, quiz không chờ. 2) Quan sát nút dọn.</t>
  </si>
  <si>
    <t>Nút vô hiệu hoặc không gây hành động nguy hiểm theo thiết kế.</t>
  </si>
  <si>
    <t>CB-ST-13-L</t>
  </si>
  <si>
    <t>Lỗi mạng / máy chủ chat</t>
  </si>
  <si>
    <t>1) Gửi tin. 2) Ngắt mạng trước khi nhận reply.</t>
  </si>
  <si>
    <t>Hiển thị thông báo lỗi kết nối; có thể thử lại sau.</t>
  </si>
  <si>
    <t>Server đang để localhost, rất khó để test được trường hợp này</t>
  </si>
  <si>
    <t>CB-ST-14-H</t>
  </si>
  <si>
    <t>Bảo mật &amp; tách dữ liệu</t>
  </si>
  <si>
    <t>1) User A chat vài câu. 2) Đăng nhập User B thiết bị khác, mở Chatbot.</t>
  </si>
  <si>
    <t>B chỉ thấy lịch sử của B.</t>
  </si>
  <si>
    <t>username1: hanh61451@gmail.com
username2: hanh6171@gmail.com</t>
  </si>
  <si>
    <t>CB-ST-15-H</t>
  </si>
  <si>
    <t>UX tải &amp; nhập liệu</t>
  </si>
  <si>
    <t>1) Gửi tin. 2) Quan sát khi chờ phản hồi.</t>
  </si>
  <si>
    <t>Có chỉ báo “đang soạn trả lời” hoặc tương đương.</t>
  </si>
  <si>
    <t>username: hanh61451@gmail.com
prompt bất kì</t>
  </si>
  <si>
    <t>CB-ST-15-T</t>
  </si>
  <si>
    <t>1) Trong lúc đang làm quiz (câu hỏi hiển thị). 2) Thử gõ vào ô chat.</t>
  </si>
  <si>
    <t>Ô nhập bị khóa hoặc không gửi được theo thiết kế phiên quiz.</t>
  </si>
  <si>
    <t>CB-ST-16-H</t>
  </si>
  <si>
    <t>End-to-end đa tính năng trong một phiên</t>
  </si>
  <si>
    <t>1) Tra từ → phát âm → làm vài câu quiz → dọn lịch sử.</t>
  </si>
  <si>
    <t>Mỗi bước hoàn thành được; sau dọn, màn hình sạch theo thiết kế.</t>
  </si>
  <si>
    <t>CM-ST-01-H</t>
  </si>
  <si>
    <t>Xác nhận tính năng Tìm kiếm từ vựng (Search) xử lý đúng các loại dữ liệu đầu vào</t>
  </si>
  <si>
    <t>1) Đăng nhập Student. 2) Tại thanh tìm kiếm, nhập từ hợp lệ (VD: "apple"). 3) Nhấn Enter.</t>
  </si>
  <si>
    <t>Hiển thị đúng card từ vựng "apple". UI kết quả gọn gàng.</t>
  </si>
  <si>
    <t>CM-ST-01-T</t>
  </si>
  <si>
    <t>1) Nhập từ có khoảng trắng thừa (VD: " apple "). 2) Nhấn Enter.</t>
  </si>
  <si>
    <t>Hệ thống tự động trim khoảng trắng và trả về kết quả đúng như luồng (H).</t>
  </si>
  <si>
    <t>CM-ST-01-L1</t>
  </si>
  <si>
    <t>1) Nhập đoạn mã độc: &lt;script&gt;alert('XSS')&lt;/script&gt;. 2) Nhấn Enter.</t>
  </si>
  <si>
    <t>Hệ thống xử lý chuỗi như văn bản thuần (plain text), hiển thị "Không tìm thấy kết quả". Tuyệt đối không popup alert (Phụ lục F).</t>
  </si>
  <si>
    <t>CM-ST-01-L2</t>
  </si>
  <si>
    <t>1) Nhập các ký tự đặc biệt vô nghĩa: !@#$%^&amp;*(). 2) Nhấn Enter.</t>
  </si>
  <si>
    <t>Hiển thị thông báo "Không tìm thấy kết quả" hoặc "Ký tự không hợp lệ", không báo lỗi server 500.</t>
  </si>
  <si>
    <t>CM-ST-01-B</t>
  </si>
  <si>
    <t>1) Copy và paste một chuỗi cực dài (&gt;255 ký tự) vào ô tìm kiếm. 2) Nhấn Enter.</t>
  </si>
  <si>
    <t>Ô input chặn không cho nhập thêm ký tự (nếu có max-length) hoặc hiển thị báo lỗi từ chối chuỗi quá dài. Không bị sập giao diện.</t>
  </si>
  <si>
    <t>CM-ST-02-H</t>
  </si>
  <si>
    <t>Xác nhận giao diện và tương tác Flashcard hoạt động đúng chuẩn</t>
  </si>
  <si>
    <t>1) Mở chi tiết từ vựng bất kỳ bằng chế độ Flashcard. 2) Quan sát font chữ, màu sắc (đặc biệt màu đỏ cảnh báo nếu có). 3) Nhấn nút "Lật thẻ".</t>
  </si>
  <si>
    <t>Font chữ đồng nhất với toàn trang. Chữ căn lề trái, số liệu căn lề phải (theo Phụ lục D). Animation lật thẻ diễn ra mượt mà, không giật lag.</t>
  </si>
  <si>
    <t>CM-ST-02-T</t>
  </si>
  <si>
    <t>1) Hover chuột (đưa trỏ chuột) qua các nút bấm như Audio, Yêu thích, Lật thẻ.</t>
  </si>
  <si>
    <t>Hiển thị các Tooltip tương ứng (VD: "Nghe phát âm", "Thêm vào yêu thích") để giải thích tính năng (Phụ lục D).</t>
  </si>
  <si>
    <t>CM-ST-02-L</t>
  </si>
  <si>
    <t>1) Đang ở mặt sau của Flashcard, nhấn nút Back (Quay lại) trên trình duyệt (Browser Back button).</t>
  </si>
  <si>
    <t>Trình duyệt quay về đúng danh sách Chủ đề trước đó, không bị văng ra màn hình trắng hay lỗi mất session.</t>
  </si>
  <si>
    <t>CM-ST-02-B</t>
  </si>
  <si>
    <t>1) Click liên tục vào nút "Lật thẻ" (double-click hoặc spam click).</t>
  </si>
  <si>
    <t>Thẻ chỉ thực hiện animation lật 1 lần hoàn chỉnh trước khi nhận lệnh tiếp theo. Trạng thái mặt trước/sau không bị lẫn lộn chữ với nhau.</t>
  </si>
  <si>
    <t>CM-ST-03-H</t>
  </si>
  <si>
    <t>Xử lý Media (Audio/Image) lỗi hoặc thiếu trên Flashcard</t>
  </si>
  <si>
    <t>1) Mở Flashcard của từ có cấu hình đầy đủ. 2) Click icon Audio.</t>
  </si>
  <si>
    <t>Ảnh minh họa load đầy đủ. Audio phát ngay lập tức, không bị vỡ tiếng.</t>
  </si>
  <si>
    <t>CM-ST-03-T</t>
  </si>
  <si>
    <t>1) Đăng nhập Admin, xóa URL audio của 1 từ. 2) Đăng nhập Student, mở Flashcard từ đó.</t>
  </si>
  <si>
    <t>Nút Audio bị làm mờ (disabled). Hover chuột vào hiển thị tooltip "Âm thanh không khả dụng".</t>
  </si>
  <si>
    <t>CM-ST-03-L</t>
  </si>
  <si>
    <t>1) Từ vựng có URL ảnh nhưng file trên server bị hỏng hoặc mất (lỗi 404). 2) Mở Flashcard.</t>
  </si>
  <si>
    <t>Giao diện Flashcard vẫn hiển thị cấu trúc bình thường, phần ảnh hiển thị 1 hình ảnh mặc định (Placeholder) hoặc icon "Image not found", không bị vỡ layout (Phụ lục F).</t>
  </si>
  <si>
    <t>CM-ST-04-H</t>
  </si>
  <si>
    <t>Xác nhận tính năng Import CSV của Admin</t>
  </si>
  <si>
    <t>1) Admin vào Quản lý từ vựng -&gt; Import. 2) Upload file CSV hợp lệ chứa 10 từ.</t>
  </si>
  <si>
    <t>Hệ thống báo "Import thành công 10 từ", danh sách cập nhật ngay lập tức.</t>
  </si>
  <si>
    <t>CM-ST-04-T</t>
  </si>
  <si>
    <t>1) Upload file CSV có 5 từ hợp lệ, 2 từ bị thiếu trường bắt buộc (ví dụ: nghĩa Tiếng Việt).</t>
  </si>
  <si>
    <t>Hệ thống báo "Import thành công 5 từ. Lỗi 2 từ ở dòng X, Y do thiếu dữ liệu". Không hủy bỏ toàn bộ file.</t>
  </si>
  <si>
    <t>CM-ST-04-L1</t>
  </si>
  <si>
    <t>1) Chọn file tải lên định dạng .txt hoặc .pdf.</t>
  </si>
  <si>
    <t>Nút upload chặn file hoặc khi bấm Import hệ thống lập tức báo lỗi "Định dạng file không hỗ trợ, vui lòng chọn CSV".</t>
  </si>
  <si>
    <t>CM-ST-04-L2</t>
  </si>
  <si>
    <t>1) Upload file CSV chứa mã độc hoặc file dung lượng cực lớn (&gt;10MB).</t>
  </si>
  <si>
    <t>Hệ thống chặn file ngay từ bước upload (Client-side validation) hoặc báo lỗi dung lượng quá mức cho phép, server không bị treo.</t>
  </si>
  <si>
    <t>CM-ST-04-B1</t>
  </si>
  <si>
    <t>1) Upload file CSV hoàn toàn trống (0 dòng data, chỉ có header).</t>
  </si>
  <si>
    <t>Báo lỗi "File không chứa dữ liệu từ vựng".</t>
  </si>
  <si>
    <t>CM-ST-04-B2</t>
  </si>
  <si>
    <t>1) Upload file CSV chứa chính xác 1 dòng dữ liệu hợp lệ.</t>
  </si>
  <si>
    <t>Import thành công 1 từ.</t>
  </si>
  <si>
    <t>CM-ST-05-H</t>
  </si>
  <si>
    <t>Xác nhận hiển thị Trạng thái rỗng (Empty State)</t>
  </si>
  <si>
    <t>1) Học viên vào Khóa học có sẵn các Chủ đề và từ vựng.</t>
  </si>
  <si>
    <t>Hiển thị đủ các Card danh sách.</t>
  </si>
  <si>
    <t>CM-ST-05-T</t>
  </si>
  <si>
    <t>1) Admin tạo mới 1 Chủ đề nhưng chưa thêm từ vựng. 2) Học viên click vào Chủ đề đó.</t>
  </si>
  <si>
    <t>Hiển thị component EmptyState rõ ràng: "Chủ đề này đang được cập nhật". Các nút "Học flashcard", "Luyện tập" bị ẩn hoặc disabled để ngăn lỗi.</t>
  </si>
  <si>
    <t>CM-ST-05-L</t>
  </si>
  <si>
    <t>1) Học viên truy cập trực tiếp bằng URL ID của một Khóa học/Chủ đề đã bị Admin xóa (ví dụ /courses/999).</t>
  </si>
  <si>
    <t>Hiển thị trang lỗi 404 thân thiện hoặc thông báo "Nội dung không tồn tại", cung cấp nút "Quay lại trang chủ" (Phụ lục D: Navigation).</t>
  </si>
  <si>
    <t>CM-ST-01</t>
  </si>
  <si>
    <t>CM-ST-02</t>
  </si>
  <si>
    <t>CM-ST-03</t>
  </si>
  <si>
    <t>CM-ST-04</t>
  </si>
  <si>
    <t>CM-ST-05</t>
  </si>
  <si>
    <t>Tiến độ &amp; Học lặp lại ngắt quãng (Progress &amp; SRS)</t>
  </si>
  <si>
    <t>Thuật toán SRS ban đầu cho thấy sự chính xác trong việc cập nhật lịch ôn tập dựa trên kết quả trả lời của từng từ vựng riêng lẻ.</t>
  </si>
  <si>
    <t xml:space="preserve"> Đạt 75% Pass trên số lượng ca đã kiểm thử (3/4). Phần lớn các ca (8/12) vẫn đang Pending do đặc thù của SRS cần chờ đến đúng ngày hạn ôn tập (due date) để kiểm tra tính chính xác của lịch ôn kế tiếp.</t>
  </si>
  <si>
    <t>Ghi nhận từ vựng ôn tập từ người dùng</t>
  </si>
  <si>
    <t>SRS-ST-01-H</t>
  </si>
  <si>
    <t>Xác nhận sau khi học từ mới (luyện tập), hệ thống ghi nhận trạng thái và lịch ôn phù hợp thiết kế</t>
  </si>
  <si>
    <t>1) Đăng nhập bằng user có ít nhất 1 từ chưa học. 2) Vào luồng luyện tập và hoàn thành phiên. 3) Mở lại màn Thống kê/lịch ôn.</t>
  </si>
  <si>
    <t>Từ vừa học được ghi nhận là đã học; dữ liệu lịch ôn ban đầu được tạo theo thiết kế</t>
  </si>
  <si>
    <t>User mới / từ chưa học; user cũ</t>
  </si>
  <si>
    <t>SRS-ST-01-T</t>
  </si>
  <si>
    <t>1) Đăng nhập user có nhiều từ chưa học. 2) Hoàn thành một phiên luyện tập chứa nhiều từ mới. 3) Mở lại Thống kê/lịch ôn.</t>
  </si>
  <si>
    <t>Toàn bộ từ trong phiên được cập nhật nhất quán; không thiếu hoặc lệch trạng thái.</t>
  </si>
  <si>
    <t>SRS-ST-01-L</t>
  </si>
  <si>
    <t>1) Bắt đầu phiên luyện tập có từ mới. 2) Thoát giữa chừng trước khi hoàn thành. 3) Vào lại Thống kê/lịch ôn để kiểm tra.</t>
  </si>
  <si>
    <t xml:space="preserve">Phiên không bị coi là hoàn thành; không ghi nhận sai dữ liệu SRS </t>
  </si>
  <si>
    <t>SRS-ST-01-B</t>
  </si>
  <si>
    <t>1) Chuẩn bị phiên luyện tập chỉ có 1 câu/1 từ. 2) Hoàn thành phiên. 3) Kiểm tra trạng thái trên Thống kê/lịch ôn.</t>
  </si>
  <si>
    <t>Hệ thống vẫn cập nhật đúng và không lỗi với dữ liệu tối thiểu.</t>
  </si>
  <si>
    <t>Trên trang thống kê vẫn để số từ học được là 20 từ</t>
  </si>
  <si>
    <t>SRS-ST-02-H</t>
  </si>
  <si>
    <t>Phiên ôn tập chỉ gồm từ đến hạn / quá hạn theo lịch</t>
  </si>
  <si>
    <t>1) Chuẩn bị dữ liệu có cả từ due và not-due. 2) Bấm bắt đầu ôn tập theo lịch. 3) Quan sát danh sách câu/từ trong phiên.</t>
  </si>
  <si>
    <t>Chỉ từ due/quá hạn được đưa vào phiên ôn; từ not-due không xuất hiện.</t>
  </si>
  <si>
    <t xml:space="preserve">Bộ từ hỗn hợp due / not-due; </t>
  </si>
  <si>
    <t xml:space="preserve"> cần chờ đến đúng ngày hạn ôn tập (due date) để kiểm tra tính chính xác của lịch ôn kế tiếp.</t>
  </si>
  <si>
    <t>SRS-ST-02-T</t>
  </si>
  <si>
    <t>1) Chuẩn bị dữ liệu chỉ có đúng 1 từ due. 2) Bắt đầu ôn tập. 3) Hoàn thành phiên.</t>
  </si>
  <si>
    <t>Phiên tạo thành công với 1 từ due duy nhất; không lỗi điều hướng/hiển thị.</t>
  </si>
  <si>
    <t xml:space="preserve">Bộ từ có 1 due </t>
  </si>
  <si>
    <t>SRS-ST-02-L</t>
  </si>
  <si>
    <t>1) Chuẩn bị user không có từ due. 2) Bấm bắt đầu ôn tập.</t>
  </si>
  <si>
    <t>Hệ thống thông báo rõ không có từ cần ôn; không tạo phiên rỗng và không treo giao diện</t>
  </si>
  <si>
    <t xml:space="preserve">Bộ từ có 0 due </t>
  </si>
  <si>
    <t>SRS-ST-03-H</t>
  </si>
  <si>
    <t>Cập nhật lịch SRS khi ôn đúng</t>
  </si>
  <si>
    <t>1) Bắt đầu phiên ôn có từ due. 2) Trả lời đúng. 3) Hoàn thành phiên. 4) Kiểm tra lịch ôn kế tiếp.</t>
  </si>
  <si>
    <t>Khoảng cách ôn tăng hoặc trạng thái nhớ tăng theo bảng quy tắc SRS.</t>
  </si>
  <si>
    <t>Từ due; lịch sử ôn đã có</t>
  </si>
  <si>
    <t>SRS-ST-03-T</t>
  </si>
  <si>
    <t>1) Chạy phiên có nhiều câu của cùng/chung tập từ. 2) Trả lời đúng một phần, sai một phần. 3) Hoàn thành phiên.</t>
  </si>
  <si>
    <t>Mỗi từ được cập nhật độc lập đúng theo kết quả trả lời thực tế của từ đó.</t>
  </si>
  <si>
    <t>SRS-ST-03-B</t>
  </si>
  <si>
    <t>1) Chuẩn bị phiên ôn chỉ 1 từ, 1 lần trả lời. 2) Hoàn thành phiên. 3) Kiểm tra lịch ôn.</t>
  </si>
  <si>
    <t>Cập nhật SRS đầy đủ dù dữ liệu ở mức biên tối thiểu.</t>
  </si>
  <si>
    <t>SRS-ST-04-H</t>
  </si>
  <si>
    <t>Cập nhật lịch SRS khi ôn sai</t>
  </si>
  <si>
    <t>1) Bắt đầu phiên ôn có từ due. 2) Trả lời sai. 3) Hoàn thành phiên. 4) Kiểm tra lịch ôn kế tiếp.</t>
  </si>
  <si>
    <t>Khoảng cách ôn giảm/reset theo quy tắc SRS đã thiết kế.</t>
  </si>
  <si>
    <t>Từ due</t>
  </si>
  <si>
    <t>SRS-ST-04-L</t>
  </si>
  <si>
    <t>1) Trả lời câu hỏi đến bước gửi kết quả. 2) Ngắt mạng trước khi đồng bộ hoàn tất. 3) Kết nối lại và mở lại phiên/thống kê.</t>
  </si>
  <si>
    <t>Không bị double-submit; trạng thái cuối cùng nhất quán sau khi có mạng trở lại.</t>
  </si>
  <si>
    <t>Các tính năng cốt lõi về ghi nhận Streak trong ngày đã hoạt động đúng. Các kịch bản liên quan đến chuỗi ngày dài cần tiếp tục theo dõi thêm để xác nhận.</t>
  </si>
  <si>
    <t xml:space="preserve"> Đã hoàn thành 2/5 ca kiểm thử (Pass). 3 ca còn lại đang ở trạng thái Pending vì cần thời gian thực tế để kiểm chứng việc duy trì hoặc gãy chuỗi liên tiếp qua nhiều ngày.</t>
  </si>
  <si>
    <t>Người dùng giữ streak ôn tập</t>
  </si>
  <si>
    <t>STK-ST-01-H</t>
  </si>
  <si>
    <t>Streak phản ánh hoạt động học trong ngày</t>
  </si>
  <si>
    <t>1) Đăng nhập vào ngày chưa có hoạt động học. 2) Hoàn thành 1 phiên học hợp lệ. 3) Mở Thống kê/streak.</t>
  </si>
  <si>
    <t>Ngày hiện tại được đánh dấu có học; streak cập nhật đúng theo quy tắc.</t>
  </si>
  <si>
    <t>User mới / có lịch sử</t>
  </si>
  <si>
    <t>STK-ST-01-T</t>
  </si>
  <si>
    <t>1) Trong cùng một ngày, hoàn thành 2 phiên học hợp lệ. 2) Kiểm tra streak và lịch hoạt động.</t>
  </si>
  <si>
    <t>Streak không tăng trùng vô lý cho cùng một ngày (theo định nghĩa nghiệp vụ).</t>
  </si>
  <si>
    <t>STK-ST-02-H</t>
  </si>
  <si>
    <t>Streak liên tiếp nhiều ngày và gãy chuỗi</t>
  </si>
  <si>
    <t>1) Ngày 1 hoàn thành phiên học. 2) Ngày 2 hoàn thành thêm phiên học. 3) Mở Thống kê.</t>
  </si>
  <si>
    <t>Chuỗi ngày liên tiếp tăng đúng (thường +1) và hiển thị nhất quán.</t>
  </si>
  <si>
    <t xml:space="preserve"> cần thời gian thực tế để kiểm chứng việc duy trì hoặc gãy chuỗi liên tiếp qua nhiều ngày.</t>
  </si>
  <si>
    <t>STK-ST-02-L</t>
  </si>
  <si>
    <t>1) Tạo chuỗi streak đang hoạt động. 2) Bỏ học nhiều ngày theo điều kiện gãy chuỗi. 3) Mở Thống kê.</t>
  </si>
  <si>
    <t>Streak reset/giảm theo đúng quy tắc thiết kế khi chuỗi bị đứt.</t>
  </si>
  <si>
    <t>STK-ST-01-B</t>
  </si>
  <si>
    <t>1) Hoàn thành phiên sát mốc đổi ngày (gần 0h) theo múi giờ hệ thống. 2) Kiểm tra ngày được ghi nhận trong streak.</t>
  </si>
  <si>
    <t>Hành vi đếm ngày đúng theo đặc tả múi giờ; nếu đặc tả thiếu thì ghi defect tài liệu.</t>
  </si>
  <si>
    <t xml:space="preserve"> Module Thống kê hoạt động rất ổn định, dữ liệu hiển thị chính xác và giao diện trực quan, hoàn toàn khớp với tài liệu thiết kế UI/UX.</t>
  </si>
  <si>
    <t>Đạt tỷ lệ Pass tuyệt đối 100% (4/4). Các widget tải nhanh, xử lý tốt các trường hợp biên như người dùng mới (chưa có dữ liệu) hoặc khi kết nối mạng không ổn định.</t>
  </si>
  <si>
    <t>Thống kê tiến độ học tập của người dùng</t>
  </si>
  <si>
    <t>PG-ST-01-H</t>
  </si>
  <si>
    <t>Tải màn Thống kê đầy đủ thành phần thiết kế</t>
  </si>
  <si>
    <t>1) Đăng nhập user có dữ liệu học. 2) Mở màn Thống kê và chờ tải xong. 3) Đối chiếu các widget bắt buộc.</t>
  </si>
  <si>
    <t>Hiển thị đủ các vùng theo thiết kế: tổng quan, streak, lịch ôn, biểu đồ tuần, phiên gần đây.</t>
  </si>
  <si>
    <t>User</t>
  </si>
  <si>
    <t>PG-ST-01-L</t>
  </si>
  <si>
    <t>1) Tạo điều kiện backend không phản hồi hoặc timeout toàn bộ. 2) Mở Thống kê.</t>
  </si>
  <si>
    <t>Có thông báo lỗi tổng hoặc nút thử lại; không trắng trang và không crash.</t>
  </si>
  <si>
    <t>PG-ST-01-T2</t>
  </si>
  <si>
    <t>1) Đăng nhập user mới chưa có dữ liệu học. 2) Mở Thống kê.</t>
  </si>
  <si>
    <t>Hiển thị số 0/empty state hợp lý; không báo lỗi giả.</t>
  </si>
  <si>
    <t>PG-ST-01-B</t>
  </si>
  <si>
    <t>1) Mô phỏng mạng chậm. 2) Mở Thống kê và quan sát trạng thái tải.</t>
  </si>
  <si>
    <t>Loading rõ ràng, không nhấp nháy dữ liệu sai, và chuyển trạng thái ổn định khi tải xong.</t>
  </si>
  <si>
    <t xml:space="preserve"> Tính năng ôn tập cơ bản ổn định và đáp ứng tốt các yêu cầu về nghiệp vụ. Cần lưu ý cải thiện khả năng đồng bộ trạng thái khi có sự thay đổi từ các module khác.</t>
  </si>
  <si>
    <t>Tỷ lệ Pass đạt 77.8% (7/9). Ghi nhận 2 lỗi tập trung vào việc quản lý phiên và bảo mật tương tự module SEC, cần tối ưu hóa logic xác thực và chuyển hướng người dùng.</t>
  </si>
  <si>
    <t>Luồng làm bài trong phiên ôn tập</t>
  </si>
  <si>
    <t>RV-ST-02-H</t>
  </si>
  <si>
    <t>Luồng làm bài trong phiên ôn</t>
  </si>
  <si>
    <t>1) Bắt đầu phiên ôn hợp lệ. 2) Trả lời tuần tự đến câu cuối. 3) Hoàn tất phiên.</t>
  </si>
  <si>
    <t>Hiển thị màn hoàn thành và cho phép quay về Thống kê theo đúng luồng.</t>
  </si>
  <si>
    <t>Phiên nhiều/ít câu</t>
  </si>
  <si>
    <t>RV-ST-02-T</t>
  </si>
  <si>
    <t>1) Trong phiên, gặp câu có tương tác đặc biệt (nếu có). 2) Thực hiện theo hướng dẫn hoặc bỏ qua theo thiết kế.</t>
  </si>
  <si>
    <t>Luồng không bị kẹt; hướng dẫn đủ rõ; quyền truy cập thiết bị (vd mic) được xử lý đúng.</t>
  </si>
  <si>
    <t>Sau khi thu âm không xử lý được tiếng micro, dẫn đến không làm được câu tiếp theo, đặc biệt trong kiểm tra, khi mà phải xử lý thu âm xong mới làm được câu tiếp theo</t>
  </si>
  <si>
    <t>RV-ST-02-L</t>
  </si>
  <si>
    <t>1) Tạo tình huống user không thể trả lời trong khi UI không cho bỏ qua. 2) Quan sát hành vi thoát/khôi phục.</t>
  </si>
  <si>
    <t>Có lối thoát hợp lệ theo thiết kế; không bị kẹt vĩnh viễn trong phiên.</t>
  </si>
  <si>
    <t>RV-ST-02-T2</t>
  </si>
  <si>
    <t>1) Trả lời sai một câu trong phiên có cơ chế lặp lại. 2) Tiếp tục đến lúc câu đó xuất hiện lại.</t>
  </si>
  <si>
    <t>UX thể hiện đúng tiến độ; không hiểu nhầm là đã hoàn thành khi còn câu chưa đạt.</t>
  </si>
  <si>
    <t>RV-ST-03-H</t>
  </si>
  <si>
    <t>Thoát giữa chừng phiên ôn</t>
  </si>
  <si>
    <t>1) Đang làm dở phiên ôn, bấm quay lại Thống kê. 2) Vào lại luồng ôn tập.</t>
  </si>
  <si>
    <t>Hành vi lưu/hủy phiên đúng đặc tả; không gây hỏng dữ liệu SRS.</t>
  </si>
  <si>
    <t>Đang có phiên dở</t>
  </si>
  <si>
    <t>SEC-ST-01-H</t>
  </si>
  <si>
    <t>Bảo mật &amp; phân tách dữ liệu người dùng</t>
  </si>
  <si>
    <t>1) Đăng nhập User A trên thiết bị/trình duyệt 1. 2) Đăng nhập User B trên thiết bị/trình duyệt 2. 3) So sánh dữ liệu Thống kê/ôn tập giữa hai user.</t>
  </si>
  <si>
    <t>Dữ liệu người dùng được tách biệt, không lộ chéo.</t>
  </si>
  <si>
    <t>≥2 tài khoản</t>
  </si>
  <si>
    <t>SEC-ST-01-T</t>
  </si>
  <si>
    <t>1) Đăng nhập vào Thống kê. 2) Để token hết hạn khi đang dùng. 3) Thao tác tiếp trên màn hình.</t>
  </si>
  <si>
    <t>Hệ thống yêu cầu đăng nhập lại/refresh token theo thiết kế; không lộ dữ liệu user khác.</t>
  </si>
  <si>
    <t>SEC-ST-01-L</t>
  </si>
  <si>
    <t>1) Truy cập trực tiếp URL Thống kê/Ôn khi chưa đăng nhập. 2) (Tùy phạm vi) gọi API tiến độ không xác thực.</t>
  </si>
  <si>
    <t>Bị từ chối hoặc chuyển hướng đăng nhập đúng chính sách bảo mật đã phê duyệt.</t>
  </si>
  <si>
    <t>SEC-ST-01-B</t>
  </si>
  <si>
    <t>1) Mở hai tab cùng trình duyệt với hai trạng thái phiên khác nhau (đăng xuất/đăng nhập lại). 2) Thao tác xen kẽ ở cả hai tab.</t>
  </si>
  <si>
    <t>Trạng thái phiên nhất quán, không trộn lẫn danh tính/dữ liệu giữa các tab.</t>
  </si>
  <si>
    <t>Vẫn có thể qua route Login</t>
  </si>
  <si>
    <t>Hầu hết các ca kiểm thử bảo mật đều đạt yêu cầu về phân tách dữ liệu người dùng. Tuy nhiên, vẫn còn tồn tại rủi ro về quản lý phiên làm việc khi thao tác đồng thời trên nhiều tab trình duyệt.</t>
  </si>
  <si>
    <t>Tỷ lệ Pass đạt 75% (3/4). Lỗi phát sinh tại kịch bản SEC-ST-01-B do hệ thống chưa kiểm soát tốt trạng thái phiên nhất quán, cho phép truy cập lại trang Đăng nhập khi phiên vẫn đang hoạt động.</t>
  </si>
  <si>
    <t xml:space="preserve">Bảo mật trong phiên ôn tập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</si>
</sst>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Roboto"/>
      <scheme val="minor"/>
    </font>
    <font>
      <b/>
      <color rgb="FFFFFFFF"/>
      <name val="Roboto"/>
      <scheme val="minor"/>
    </font>
    <font>
      <color theme="1"/>
      <name val="Roboto"/>
      <scheme val="minor"/>
    </font>
    <font/>
    <font>
      <b/>
      <color rgb="FF1F1F1F"/>
      <name val="&quot;Google Sans Text&quot;"/>
    </font>
    <font>
      <color rgb="FF1F1F1F"/>
      <name val="&quot;Google Sans Text&quot;"/>
    </font>
    <font>
      <color theme="1"/>
      <name val="&quot;Google Sans Text&quot;"/>
    </font>
    <font>
      <b/>
      <color theme="1"/>
      <name val="Roboto"/>
      <scheme val="minor"/>
    </font>
    <font>
      <sz val="12.0"/>
      <color theme="1"/>
      <name val="Roboto"/>
      <scheme val="minor"/>
    </font>
    <font>
      <sz val="10.0"/>
      <color theme="1"/>
      <name val="Arial"/>
    </font>
  </fonts>
  <fills count="5">
    <fill>
      <patternFill patternType="none"/>
    </fill>
    <fill>
      <patternFill patternType="lightGray"/>
    </fill>
    <fill>
      <patternFill patternType="solid">
        <fgColor rgb="FF45818E"/>
        <bgColor rgb="FF45818E"/>
      </patternFill>
    </fill>
    <fill>
      <patternFill patternType="solid">
        <fgColor rgb="FFD0E0E3"/>
        <bgColor rgb="FFD0E0E3"/>
      </patternFill>
    </fill>
    <fill>
      <patternFill patternType="solid">
        <fgColor rgb="FFFFFF00"/>
        <bgColor rgb="FFFFFF00"/>
      </patternFill>
    </fill>
  </fills>
  <borders count="20">
    <border/>
    <border>
      <left style="thin">
        <color rgb="FF45818E"/>
      </left>
      <right style="thin">
        <color rgb="FF45818E"/>
      </right>
      <top style="thin">
        <color rgb="FF45818E"/>
      </top>
      <bottom style="thin">
        <color rgb="FF45818E"/>
      </bottom>
    </border>
    <border>
      <left style="thin">
        <color rgb="FF45818E"/>
      </left>
      <top style="thin">
        <color rgb="FF45818E"/>
      </top>
      <bottom style="thin">
        <color rgb="FF45818E"/>
      </bottom>
    </border>
    <border>
      <top style="thin">
        <color rgb="FF45818E"/>
      </top>
      <bottom style="thin">
        <color rgb="FF45818E"/>
      </bottom>
    </border>
    <border>
      <right style="thin">
        <color rgb="FF45818E"/>
      </right>
      <top style="thin">
        <color rgb="FF45818E"/>
      </top>
      <bottom style="thin">
        <color rgb="FF45818E"/>
      </bottom>
    </border>
    <border>
      <left style="thin">
        <color rgb="FF45818E"/>
      </left>
      <top style="thin">
        <color rgb="FF45818E"/>
      </top>
    </border>
    <border>
      <top style="thin">
        <color rgb="FF45818E"/>
      </top>
    </border>
    <border>
      <right style="thin">
        <color rgb="FF45818E"/>
      </right>
      <top style="thin">
        <color rgb="FF45818E"/>
      </top>
    </border>
    <border>
      <left style="thin">
        <color rgb="FF45818E"/>
      </left>
    </border>
    <border>
      <right style="thin">
        <color rgb="FF45818E"/>
      </right>
    </border>
    <border>
      <left style="thin">
        <color rgb="FF45818E"/>
      </left>
      <bottom style="thin">
        <color rgb="FF45818E"/>
      </bottom>
    </border>
    <border>
      <right style="thin">
        <color rgb="FF45818E"/>
      </right>
      <bottom style="thin">
        <color rgb="FF45818E"/>
      </bottom>
    </border>
    <border>
      <bottom style="thin">
        <color rgb="FF45818E"/>
      </bottom>
    </border>
    <border>
      <left style="thin">
        <color rgb="FF45818E"/>
      </left>
      <right style="thin">
        <color rgb="FF45818E"/>
      </right>
      <top style="thin">
        <color rgb="FF45818E"/>
      </top>
    </border>
    <border>
      <left style="thin">
        <color rgb="FF000000"/>
      </left>
      <right style="thin">
        <color rgb="FF000000"/>
      </right>
      <top style="thin">
        <color rgb="FF000000"/>
      </top>
      <bottom style="thin">
        <color rgb="FF000000"/>
      </bottom>
    </border>
    <border>
      <left style="thin">
        <color rgb="FF45818E"/>
      </left>
      <right style="thin">
        <color rgb="FF45818E"/>
      </right>
      <bottom style="thin">
        <color rgb="FF45818E"/>
      </bottom>
    </border>
    <border>
      <left style="thin">
        <color rgb="FF45818E"/>
      </left>
      <right style="thin">
        <color rgb="FF45818E"/>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3" fontId="2" numFmtId="0" xfId="0" applyAlignment="1" applyFill="1" applyFont="1">
      <alignment readingOrder="0" shrinkToFit="0" vertical="center" wrapText="1"/>
    </xf>
    <xf borderId="0" fillId="0" fontId="2"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1" fillId="2" fontId="1"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2" fillId="2" fontId="1" numFmtId="0" xfId="0" applyAlignment="1" applyBorder="1" applyFont="1">
      <alignment readingOrder="0" shrinkToFit="0" vertical="center" wrapText="1"/>
    </xf>
    <xf borderId="3" fillId="0" fontId="3" numFmtId="0" xfId="0" applyBorder="1" applyFont="1"/>
    <xf borderId="4" fillId="0" fontId="3" numFmtId="0" xfId="0" applyBorder="1" applyFont="1"/>
    <xf borderId="5" fillId="3" fontId="2" numFmtId="0" xfId="0" applyAlignment="1" applyBorder="1" applyFont="1">
      <alignment readingOrder="0" shrinkToFit="0" vertical="center"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0" fillId="0" fontId="2" numFmtId="0" xfId="0" applyAlignment="1" applyFont="1">
      <alignment readingOrder="0"/>
    </xf>
    <xf borderId="2" fillId="3" fontId="2" numFmtId="0" xfId="0" applyAlignment="1" applyBorder="1" applyFont="1">
      <alignment readingOrder="0" shrinkToFit="0" vertical="center" wrapText="1"/>
    </xf>
    <xf borderId="1" fillId="3" fontId="2" numFmtId="10" xfId="0" applyAlignment="1" applyBorder="1" applyFont="1" applyNumberFormat="1">
      <alignment readingOrder="0" shrinkToFit="0" vertical="center" wrapText="1"/>
    </xf>
    <xf borderId="13" fillId="2" fontId="1" numFmtId="0" xfId="0" applyAlignment="1" applyBorder="1" applyFont="1">
      <alignment readingOrder="0" shrinkToFit="0" vertical="center" wrapText="1"/>
    </xf>
    <xf borderId="0" fillId="4" fontId="4" numFmtId="0" xfId="0" applyAlignment="1" applyFill="1" applyFont="1">
      <alignment readingOrder="0" shrinkToFit="0" vertical="center" wrapText="1"/>
    </xf>
    <xf borderId="14" fillId="0" fontId="4" numFmtId="0" xfId="0" applyAlignment="1" applyBorder="1" applyFont="1">
      <alignment readingOrder="0" shrinkToFit="0" vertical="center" wrapText="1"/>
    </xf>
    <xf borderId="14" fillId="0" fontId="5" numFmtId="0" xfId="0" applyAlignment="1" applyBorder="1" applyFont="1">
      <alignment readingOrder="0" shrinkToFit="0" vertical="center" wrapText="1"/>
    </xf>
    <xf borderId="14" fillId="0" fontId="2" numFmtId="0" xfId="0" applyAlignment="1" applyBorder="1" applyFont="1">
      <alignment readingOrder="0" shrinkToFit="0" vertical="center" wrapText="1"/>
    </xf>
    <xf borderId="14" fillId="0" fontId="2" numFmtId="0" xfId="0" applyAlignment="1" applyBorder="1" applyFont="1">
      <alignment shrinkToFit="0" vertical="center" wrapText="1"/>
    </xf>
    <xf borderId="14" fillId="0" fontId="4" numFmtId="0" xfId="0" applyAlignment="1" applyBorder="1" applyFont="1">
      <alignment horizontal="left" readingOrder="0" shrinkToFit="0" vertical="center" wrapText="1"/>
    </xf>
    <xf borderId="14" fillId="0" fontId="5" numFmtId="0" xfId="0" applyAlignment="1" applyBorder="1" applyFont="1">
      <alignment horizontal="left" readingOrder="0" shrinkToFit="0" vertical="center" wrapText="1"/>
    </xf>
    <xf borderId="14" fillId="0" fontId="2" numFmtId="0" xfId="0" applyAlignment="1" applyBorder="1" applyFont="1">
      <alignment horizontal="left" readingOrder="0" shrinkToFit="0" vertical="center" wrapText="1"/>
    </xf>
    <xf borderId="14" fillId="0" fontId="2" numFmtId="0" xfId="0" applyAlignment="1" applyBorder="1" applyFont="1">
      <alignment horizontal="left" shrinkToFit="0" vertical="center" wrapText="1"/>
    </xf>
    <xf borderId="0" fillId="0" fontId="2" numFmtId="0" xfId="0" applyAlignment="1" applyFont="1">
      <alignment horizontal="left" readingOrder="0" shrinkToFit="0" vertical="center" wrapText="1"/>
    </xf>
    <xf borderId="14" fillId="0" fontId="6" numFmtId="0" xfId="0" applyAlignment="1" applyBorder="1" applyFont="1">
      <alignment horizontal="left" readingOrder="0" shrinkToFit="0" vertical="center" wrapText="1"/>
    </xf>
    <xf borderId="11" fillId="0" fontId="2" numFmtId="0" xfId="0" applyAlignment="1" applyBorder="1" applyFont="1">
      <alignment readingOrder="0" shrinkToFit="0" vertical="center" wrapText="1"/>
    </xf>
    <xf borderId="15" fillId="0" fontId="2" numFmtId="0" xfId="0" applyAlignment="1" applyBorder="1" applyFont="1">
      <alignment shrinkToFit="0" vertical="center" wrapText="1"/>
    </xf>
    <xf borderId="14" fillId="0" fontId="4" numFmtId="0" xfId="0" applyAlignment="1" applyBorder="1" applyFont="1">
      <alignment readingOrder="0" shrinkToFit="0" wrapText="1"/>
    </xf>
    <xf borderId="14" fillId="0" fontId="5" numFmtId="0" xfId="0" applyAlignment="1" applyBorder="1" applyFont="1">
      <alignment readingOrder="0" shrinkToFit="0" wrapText="1"/>
    </xf>
    <xf borderId="4" fillId="0" fontId="2" numFmtId="0" xfId="0" applyAlignment="1" applyBorder="1" applyFont="1">
      <alignment readingOrder="0" shrinkToFit="0" vertical="center" wrapText="1"/>
    </xf>
    <xf borderId="7" fillId="0" fontId="2" numFmtId="0" xfId="0" applyAlignment="1" applyBorder="1" applyFont="1">
      <alignment readingOrder="0" shrinkToFit="0" vertical="center" wrapText="1"/>
    </xf>
    <xf borderId="2" fillId="2" fontId="1" numFmtId="49" xfId="0" applyAlignment="1" applyBorder="1" applyFont="1" applyNumberFormat="1">
      <alignment readingOrder="0" shrinkToFit="0" vertical="center" wrapText="1"/>
    </xf>
    <xf borderId="5" fillId="3" fontId="2" numFmtId="49" xfId="0" applyAlignment="1" applyBorder="1" applyFont="1" applyNumberFormat="1">
      <alignment readingOrder="0" shrinkToFit="0" vertical="center" wrapText="1"/>
    </xf>
    <xf borderId="0" fillId="0" fontId="2" numFmtId="49" xfId="0" applyAlignment="1" applyFont="1" applyNumberFormat="1">
      <alignment readingOrder="0" shrinkToFit="0" vertical="center" wrapText="1"/>
    </xf>
    <xf borderId="1" fillId="2" fontId="1" numFmtId="49" xfId="0" applyAlignment="1" applyBorder="1" applyFont="1" applyNumberFormat="1">
      <alignment readingOrder="0" shrinkToFit="0" vertical="center" wrapText="1"/>
    </xf>
    <xf borderId="1" fillId="4" fontId="7" numFmtId="0" xfId="0" applyAlignment="1" applyBorder="1" applyFont="1">
      <alignment readingOrder="0" shrinkToFit="0" vertical="center" wrapText="1"/>
    </xf>
    <xf borderId="2" fillId="4" fontId="7" numFmtId="0" xfId="0" applyAlignment="1" applyBorder="1" applyFont="1">
      <alignment readingOrder="0" shrinkToFit="0" vertical="center" wrapText="1"/>
    </xf>
    <xf borderId="1" fillId="0" fontId="2" numFmtId="49" xfId="0" applyAlignment="1" applyBorder="1" applyFont="1" applyNumberFormat="1">
      <alignment readingOrder="0" shrinkToFit="0" vertical="center" wrapText="1"/>
    </xf>
    <xf quotePrefix="1"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49" xfId="0" applyAlignment="1" applyBorder="1" applyFont="1" applyNumberFormat="1">
      <alignment readingOrder="0" shrinkToFit="0" vertical="center" wrapText="1"/>
    </xf>
    <xf borderId="2" fillId="4" fontId="8" numFmtId="0" xfId="0" applyAlignment="1" applyBorder="1" applyFont="1">
      <alignment readingOrder="0" shrinkToFit="0" vertical="center" wrapText="1"/>
    </xf>
    <xf borderId="3" fillId="4" fontId="8" numFmtId="0" xfId="0" applyAlignment="1" applyBorder="1" applyFont="1">
      <alignment readingOrder="0" shrinkToFit="0" vertical="center" wrapText="1"/>
    </xf>
    <xf borderId="4" fillId="4" fontId="8" numFmtId="0" xfId="0" applyAlignment="1" applyBorder="1" applyFont="1">
      <alignment readingOrder="0" shrinkToFit="0" vertical="center" wrapText="1"/>
    </xf>
    <xf borderId="13" fillId="0" fontId="2" numFmtId="0" xfId="0" applyAlignment="1" applyBorder="1" applyFont="1">
      <alignment readingOrder="0" shrinkToFit="0" vertical="center" wrapText="1"/>
    </xf>
    <xf borderId="16" fillId="0" fontId="3" numFmtId="0" xfId="0" applyBorder="1" applyFont="1"/>
    <xf borderId="15" fillId="0" fontId="3" numFmtId="0" xfId="0" applyBorder="1" applyFont="1"/>
    <xf borderId="13" fillId="0" fontId="2" numFmtId="0" xfId="0" applyAlignment="1" applyBorder="1" applyFont="1">
      <alignment shrinkToFit="0" vertical="center" wrapText="1"/>
    </xf>
    <xf borderId="2" fillId="0" fontId="2" numFmtId="0" xfId="0" applyAlignment="1" applyBorder="1" applyFont="1">
      <alignment readingOrder="0" shrinkToFit="0" vertical="center" wrapText="1"/>
    </xf>
    <xf borderId="17" fillId="0" fontId="2" numFmtId="0" xfId="0" applyAlignment="1" applyBorder="1" applyFont="1">
      <alignment readingOrder="0" shrinkToFit="0" vertical="center" wrapText="1"/>
    </xf>
    <xf borderId="18" fillId="0" fontId="3" numFmtId="0" xfId="0" applyBorder="1" applyFont="1"/>
    <xf borderId="19" fillId="0" fontId="3" numFmtId="0" xfId="0" applyBorder="1" applyFont="1"/>
    <xf borderId="16" fillId="0" fontId="2" numFmtId="0" xfId="0" applyAlignment="1" applyBorder="1" applyFont="1">
      <alignment readingOrder="0" shrinkToFit="0" vertical="center" wrapText="1"/>
    </xf>
    <xf borderId="9" fillId="0" fontId="9"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xdr:colOff>
      <xdr:row>22</xdr:row>
      <xdr:rowOff>190500</xdr:rowOff>
    </xdr:from>
    <xdr:ext cx="2124075" cy="17240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609600</xdr:colOff>
      <xdr:row>22</xdr:row>
      <xdr:rowOff>190500</xdr:rowOff>
    </xdr:from>
    <xdr:ext cx="4238625" cy="1295400"/>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13"/>
    <col customWidth="1" min="2" max="2" width="23.88"/>
    <col customWidth="1" min="3" max="3" width="80.13"/>
  </cols>
  <sheetData>
    <row r="1" ht="29.25" customHeight="1">
      <c r="A1" s="1" t="s">
        <v>0</v>
      </c>
      <c r="B1" s="2" t="s">
        <v>1</v>
      </c>
      <c r="I1" s="3"/>
      <c r="J1" s="3"/>
      <c r="K1" s="3"/>
      <c r="L1" s="3"/>
      <c r="M1" s="3"/>
      <c r="N1" s="3"/>
      <c r="O1" s="3"/>
      <c r="P1" s="3"/>
      <c r="Q1" s="3"/>
      <c r="R1" s="3"/>
      <c r="S1" s="3"/>
      <c r="T1" s="3"/>
      <c r="U1" s="3"/>
      <c r="V1" s="3"/>
      <c r="W1" s="3"/>
      <c r="X1" s="3"/>
      <c r="Y1" s="3"/>
      <c r="Z1" s="3"/>
    </row>
    <row r="2" ht="29.25" customHeight="1">
      <c r="A2" s="4"/>
      <c r="B2" s="4"/>
      <c r="C2" s="5"/>
      <c r="D2" s="3"/>
      <c r="E2" s="3"/>
      <c r="F2" s="3"/>
      <c r="G2" s="3"/>
      <c r="H2" s="3"/>
      <c r="I2" s="3"/>
      <c r="J2" s="3"/>
      <c r="K2" s="3"/>
      <c r="L2" s="3"/>
      <c r="M2" s="3"/>
      <c r="N2" s="3"/>
      <c r="O2" s="3"/>
      <c r="P2" s="3"/>
      <c r="Q2" s="3"/>
      <c r="R2" s="3"/>
      <c r="S2" s="3"/>
      <c r="T2" s="3"/>
      <c r="U2" s="3"/>
      <c r="V2" s="3"/>
      <c r="W2" s="3"/>
      <c r="X2" s="3"/>
      <c r="Y2" s="3"/>
      <c r="Z2" s="3"/>
    </row>
    <row r="3" ht="29.25" customHeight="1">
      <c r="A3" s="6" t="s">
        <v>2</v>
      </c>
      <c r="B3" s="7">
        <f>B4+B5</f>
        <v>293</v>
      </c>
      <c r="C3" s="8" t="s">
        <v>3</v>
      </c>
      <c r="D3" s="9"/>
      <c r="E3" s="9"/>
      <c r="F3" s="9"/>
      <c r="G3" s="9"/>
      <c r="H3" s="10"/>
      <c r="I3" s="3"/>
      <c r="J3" s="3"/>
      <c r="K3" s="3"/>
      <c r="L3" s="3"/>
      <c r="M3" s="3"/>
      <c r="N3" s="3"/>
      <c r="O3" s="3"/>
      <c r="P3" s="3"/>
      <c r="Q3" s="3"/>
      <c r="R3" s="3"/>
      <c r="S3" s="3"/>
      <c r="T3" s="3"/>
      <c r="U3" s="3"/>
      <c r="V3" s="3"/>
      <c r="W3" s="3"/>
      <c r="X3" s="3"/>
      <c r="Y3" s="3"/>
      <c r="Z3" s="3"/>
    </row>
    <row r="4" ht="29.25" customHeight="1">
      <c r="A4" s="6" t="s">
        <v>4</v>
      </c>
      <c r="B4" s="7">
        <f>SUM(D19:D39)</f>
        <v>274</v>
      </c>
      <c r="C4" s="11" t="s">
        <v>5</v>
      </c>
      <c r="D4" s="12"/>
      <c r="E4" s="12"/>
      <c r="F4" s="12"/>
      <c r="G4" s="12"/>
      <c r="H4" s="13"/>
      <c r="I4" s="3"/>
      <c r="J4" s="3"/>
      <c r="K4" s="3"/>
      <c r="L4" s="3"/>
      <c r="M4" s="3"/>
      <c r="N4" s="3"/>
      <c r="O4" s="3"/>
      <c r="P4" s="3"/>
      <c r="Q4" s="3"/>
      <c r="R4" s="3"/>
      <c r="S4" s="3"/>
      <c r="T4" s="3"/>
      <c r="U4" s="3"/>
      <c r="V4" s="3"/>
      <c r="W4" s="3"/>
      <c r="X4" s="3"/>
      <c r="Y4" s="3"/>
      <c r="Z4" s="3"/>
    </row>
    <row r="5" ht="29.25" customHeight="1">
      <c r="A5" s="6" t="s">
        <v>6</v>
      </c>
      <c r="B5" s="7">
        <f>SUM(E19:E39)</f>
        <v>19</v>
      </c>
      <c r="C5" s="14"/>
      <c r="H5" s="15"/>
      <c r="I5" s="3"/>
      <c r="J5" s="3"/>
      <c r="K5" s="3"/>
      <c r="L5" s="3"/>
      <c r="M5" s="3"/>
      <c r="N5" s="3"/>
      <c r="O5" s="3"/>
      <c r="P5" s="3"/>
      <c r="Q5" s="3"/>
      <c r="R5" s="3"/>
      <c r="S5" s="3"/>
      <c r="T5" s="3"/>
      <c r="U5" s="3"/>
      <c r="V5" s="3"/>
      <c r="W5" s="3"/>
      <c r="X5" s="3"/>
      <c r="Y5" s="3"/>
      <c r="Z5" s="3"/>
    </row>
    <row r="6" ht="29.25" customHeight="1">
      <c r="A6" s="6" t="s">
        <v>7</v>
      </c>
      <c r="B6" s="7">
        <f>SUM(F19:F39)</f>
        <v>146</v>
      </c>
      <c r="C6" s="14"/>
      <c r="H6" s="15"/>
      <c r="I6" s="3"/>
      <c r="J6" s="3"/>
      <c r="K6" s="3"/>
      <c r="L6" s="3"/>
      <c r="M6" s="3"/>
      <c r="N6" s="3"/>
      <c r="O6" s="3"/>
      <c r="P6" s="3"/>
      <c r="Q6" s="3"/>
      <c r="R6" s="3"/>
      <c r="S6" s="3"/>
      <c r="T6" s="3"/>
      <c r="U6" s="3"/>
      <c r="V6" s="3"/>
      <c r="W6" s="3"/>
      <c r="X6" s="3"/>
      <c r="Y6" s="3"/>
      <c r="Z6" s="3"/>
    </row>
    <row r="7" ht="29.25" customHeight="1">
      <c r="A7" s="6" t="s">
        <v>8</v>
      </c>
      <c r="B7" s="7">
        <f>SUM(G19:G39)</f>
        <v>128</v>
      </c>
      <c r="C7" s="14"/>
      <c r="H7" s="15"/>
      <c r="I7" s="3"/>
      <c r="J7" s="3"/>
      <c r="K7" s="3"/>
      <c r="L7" s="3"/>
      <c r="M7" s="3"/>
      <c r="N7" s="3"/>
      <c r="O7" s="3"/>
      <c r="P7" s="3"/>
      <c r="Q7" s="3"/>
      <c r="R7" s="3"/>
      <c r="S7" s="3"/>
      <c r="T7" s="3"/>
      <c r="U7" s="3"/>
      <c r="V7" s="3"/>
      <c r="W7" s="3"/>
      <c r="X7" s="3"/>
      <c r="Y7" s="3"/>
      <c r="Z7" s="3"/>
    </row>
    <row r="8" ht="29.25" customHeight="1">
      <c r="A8" s="6" t="s">
        <v>9</v>
      </c>
      <c r="B8" s="7">
        <f>SUM(H19:H39)</f>
        <v>126</v>
      </c>
      <c r="C8" s="14"/>
      <c r="H8" s="15"/>
      <c r="I8" s="3"/>
      <c r="J8" s="3"/>
      <c r="K8" s="3"/>
      <c r="L8" s="3"/>
      <c r="M8" s="3"/>
      <c r="N8" s="3"/>
      <c r="O8" s="3"/>
      <c r="P8" s="3"/>
      <c r="Q8" s="3"/>
      <c r="R8" s="3"/>
      <c r="S8" s="3"/>
      <c r="T8" s="3"/>
      <c r="U8" s="3"/>
      <c r="V8" s="3"/>
      <c r="W8" s="3"/>
      <c r="X8" s="3"/>
      <c r="Y8" s="3"/>
      <c r="Z8" s="3"/>
    </row>
    <row r="9" ht="29.25" customHeight="1">
      <c r="A9" s="5"/>
      <c r="B9" s="5"/>
      <c r="C9" s="14"/>
      <c r="H9" s="15"/>
      <c r="I9" s="3"/>
      <c r="J9" s="3"/>
      <c r="K9" s="3"/>
      <c r="L9" s="3"/>
      <c r="M9" s="3"/>
      <c r="N9" s="3"/>
      <c r="O9" s="3"/>
      <c r="P9" s="3"/>
      <c r="Q9" s="3"/>
      <c r="R9" s="3"/>
      <c r="S9" s="3"/>
      <c r="T9" s="3"/>
      <c r="U9" s="3"/>
      <c r="V9" s="3"/>
      <c r="W9" s="3"/>
      <c r="X9" s="3"/>
      <c r="Y9" s="3"/>
      <c r="Z9" s="3"/>
    </row>
    <row r="10" ht="29.25" customHeight="1">
      <c r="A10" s="8" t="s">
        <v>10</v>
      </c>
      <c r="B10" s="10"/>
      <c r="C10" s="14"/>
      <c r="H10" s="15"/>
      <c r="I10" s="3"/>
      <c r="J10" s="3"/>
      <c r="K10" s="3"/>
      <c r="L10" s="3"/>
      <c r="M10" s="3"/>
      <c r="N10" s="3"/>
      <c r="O10" s="3"/>
      <c r="P10" s="3"/>
      <c r="Q10" s="3"/>
      <c r="R10" s="3"/>
      <c r="S10" s="3"/>
      <c r="T10" s="3"/>
      <c r="U10" s="3"/>
      <c r="V10" s="3"/>
      <c r="W10" s="3"/>
      <c r="X10" s="3"/>
      <c r="Y10" s="3"/>
      <c r="Z10" s="3"/>
    </row>
    <row r="11" ht="29.25" customHeight="1">
      <c r="A11" s="11" t="s">
        <v>11</v>
      </c>
      <c r="B11" s="13"/>
      <c r="C11" s="14"/>
      <c r="H11" s="15"/>
      <c r="I11" s="3"/>
      <c r="J11" s="3"/>
      <c r="K11" s="3"/>
      <c r="L11" s="3"/>
      <c r="M11" s="3"/>
      <c r="N11" s="3"/>
      <c r="O11" s="3"/>
      <c r="P11" s="3"/>
      <c r="Q11" s="3"/>
      <c r="R11" s="3"/>
      <c r="S11" s="3"/>
      <c r="T11" s="3"/>
      <c r="U11" s="3"/>
      <c r="V11" s="3"/>
      <c r="W11" s="3"/>
      <c r="X11" s="3"/>
      <c r="Y11" s="3"/>
      <c r="Z11" s="3"/>
    </row>
    <row r="12" ht="29.25" customHeight="1">
      <c r="A12" s="14"/>
      <c r="B12" s="15"/>
      <c r="C12" s="14"/>
      <c r="H12" s="15"/>
      <c r="I12" s="3"/>
      <c r="J12" s="3"/>
      <c r="K12" s="3"/>
      <c r="L12" s="3"/>
      <c r="M12" s="3"/>
      <c r="N12" s="3"/>
      <c r="O12" s="3"/>
      <c r="P12" s="3"/>
      <c r="Q12" s="3"/>
      <c r="R12" s="3"/>
      <c r="S12" s="3"/>
      <c r="T12" s="3"/>
      <c r="U12" s="3"/>
      <c r="V12" s="3"/>
      <c r="W12" s="3"/>
      <c r="X12" s="3"/>
      <c r="Y12" s="3"/>
      <c r="Z12" s="3"/>
    </row>
    <row r="13" ht="29.25" customHeight="1">
      <c r="A13" s="14"/>
      <c r="B13" s="15"/>
      <c r="C13" s="14"/>
      <c r="H13" s="15"/>
      <c r="I13" s="3"/>
      <c r="J13" s="3"/>
      <c r="K13" s="3"/>
      <c r="L13" s="3"/>
      <c r="M13" s="3"/>
      <c r="N13" s="3"/>
      <c r="O13" s="3"/>
      <c r="P13" s="3"/>
      <c r="Q13" s="3"/>
      <c r="R13" s="3"/>
      <c r="S13" s="3"/>
      <c r="T13" s="3"/>
      <c r="U13" s="3"/>
      <c r="V13" s="3"/>
      <c r="W13" s="3"/>
      <c r="X13" s="3"/>
      <c r="Y13" s="3"/>
      <c r="Z13" s="3"/>
    </row>
    <row r="14" ht="29.25" customHeight="1">
      <c r="A14" s="14"/>
      <c r="B14" s="15"/>
      <c r="C14" s="14"/>
      <c r="H14" s="15"/>
      <c r="I14" s="3"/>
      <c r="J14" s="3"/>
      <c r="K14" s="3"/>
      <c r="L14" s="3"/>
      <c r="M14" s="3"/>
      <c r="N14" s="3"/>
      <c r="O14" s="3"/>
      <c r="P14" s="3"/>
      <c r="Q14" s="3"/>
      <c r="R14" s="3"/>
      <c r="S14" s="3"/>
      <c r="T14" s="3"/>
      <c r="U14" s="3"/>
      <c r="V14" s="3"/>
      <c r="W14" s="3"/>
      <c r="X14" s="3"/>
      <c r="Y14" s="3"/>
      <c r="Z14" s="3"/>
    </row>
    <row r="15" ht="29.25" customHeight="1">
      <c r="A15" s="14"/>
      <c r="B15" s="15"/>
      <c r="C15" s="14"/>
      <c r="H15" s="15"/>
      <c r="I15" s="3"/>
      <c r="J15" s="3"/>
      <c r="K15" s="3"/>
      <c r="L15" s="3"/>
      <c r="M15" s="3"/>
      <c r="N15" s="3"/>
      <c r="O15" s="3"/>
      <c r="P15" s="3"/>
      <c r="Q15" s="3"/>
      <c r="R15" s="3"/>
      <c r="S15" s="3"/>
      <c r="T15" s="3"/>
      <c r="U15" s="3"/>
      <c r="V15" s="3"/>
      <c r="W15" s="3"/>
      <c r="X15" s="3"/>
      <c r="Y15" s="3"/>
      <c r="Z15" s="3"/>
    </row>
    <row r="16" ht="29.25" customHeight="1">
      <c r="A16" s="16"/>
      <c r="B16" s="17"/>
      <c r="C16" s="16"/>
      <c r="D16" s="18"/>
      <c r="E16" s="18"/>
      <c r="F16" s="18"/>
      <c r="G16" s="18"/>
      <c r="H16" s="17"/>
      <c r="I16" s="3"/>
      <c r="J16" s="3"/>
      <c r="K16" s="3"/>
      <c r="L16" s="3"/>
      <c r="M16" s="3"/>
      <c r="N16" s="3"/>
      <c r="O16" s="3"/>
      <c r="P16" s="3"/>
      <c r="Q16" s="3"/>
      <c r="R16" s="3"/>
      <c r="S16" s="3"/>
      <c r="T16" s="3"/>
      <c r="U16" s="3"/>
      <c r="V16" s="3"/>
      <c r="W16" s="3"/>
      <c r="X16" s="3"/>
      <c r="Y16" s="3"/>
      <c r="Z16" s="3"/>
    </row>
    <row r="17">
      <c r="A17" s="4"/>
      <c r="B17" s="4"/>
      <c r="C17" s="5"/>
      <c r="D17" s="3"/>
      <c r="E17" s="3"/>
      <c r="F17" s="3"/>
      <c r="G17" s="3"/>
      <c r="H17" s="3"/>
      <c r="I17" s="3"/>
      <c r="J17" s="3"/>
      <c r="K17" s="3"/>
      <c r="L17" s="3"/>
      <c r="M17" s="3"/>
      <c r="N17" s="3"/>
      <c r="O17" s="3"/>
      <c r="P17" s="3"/>
      <c r="Q17" s="3"/>
      <c r="R17" s="3"/>
      <c r="S17" s="3"/>
      <c r="T17" s="3"/>
      <c r="U17" s="3"/>
      <c r="V17" s="3"/>
      <c r="W17" s="3"/>
      <c r="X17" s="3"/>
      <c r="Y17" s="3"/>
      <c r="Z17" s="3"/>
    </row>
    <row r="18">
      <c r="A18" s="1" t="s">
        <v>12</v>
      </c>
      <c r="B18" s="1" t="s">
        <v>13</v>
      </c>
      <c r="C18" s="1" t="s">
        <v>14</v>
      </c>
      <c r="D18" s="1" t="s">
        <v>4</v>
      </c>
      <c r="E18" s="1" t="s">
        <v>6</v>
      </c>
      <c r="F18" s="1" t="s">
        <v>7</v>
      </c>
      <c r="G18" s="1" t="s">
        <v>8</v>
      </c>
      <c r="H18" s="1" t="s">
        <v>15</v>
      </c>
      <c r="I18" s="3"/>
      <c r="J18" s="3"/>
      <c r="K18" s="3"/>
      <c r="L18" s="3"/>
      <c r="M18" s="3"/>
      <c r="N18" s="3"/>
      <c r="O18" s="3"/>
      <c r="P18" s="3"/>
      <c r="Q18" s="3"/>
      <c r="R18" s="3"/>
      <c r="S18" s="3"/>
      <c r="T18" s="3"/>
      <c r="U18" s="3"/>
      <c r="V18" s="3"/>
      <c r="W18" s="3"/>
      <c r="X18" s="3"/>
      <c r="Y18" s="3"/>
      <c r="Z18" s="3"/>
    </row>
    <row r="19">
      <c r="A19" s="19" t="s">
        <v>16</v>
      </c>
      <c r="B19" s="19" t="s">
        <v>17</v>
      </c>
      <c r="C19" s="19" t="s">
        <v>18</v>
      </c>
      <c r="D19" s="19">
        <f t="shared" ref="D19:D39" si="1">COUNTIF(INDIRECT("'"&amp;$A19&amp;"'!G13:G100"), "PASS") + COUNTIF(INDIRECT("'"&amp;$A19&amp;"'!G13:G100"), "FAIL")</f>
        <v>13</v>
      </c>
      <c r="E19" s="19">
        <f t="shared" ref="E19:E39" si="2">COUNTIF(INDIRECT("'"&amp;$A19&amp;"'!G13:G100"), "Pending")</f>
        <v>3</v>
      </c>
      <c r="F19" s="19">
        <f t="shared" ref="F19:F39" si="3">COUNTIF(INDIRECT("'"&amp;$A19&amp;"'!G13:G100"), "PASS")</f>
        <v>4</v>
      </c>
      <c r="G19" s="19">
        <f t="shared" ref="G19:G39" si="4">COUNTIF(INDIRECT("'"&amp;$A19&amp;"'!G13:G100"), "FAIL")</f>
        <v>9</v>
      </c>
      <c r="H19" s="19">
        <f t="shared" ref="H19:H39" si="5">SUM(INDIRECT("'"&amp;$A19&amp;"'!H13:H100"))</f>
        <v>9</v>
      </c>
      <c r="I19" s="3"/>
      <c r="J19" s="3"/>
      <c r="K19" s="3"/>
      <c r="L19" s="3"/>
      <c r="M19" s="3"/>
      <c r="N19" s="3"/>
      <c r="O19" s="3"/>
      <c r="P19" s="3"/>
      <c r="Q19" s="3"/>
      <c r="R19" s="3"/>
      <c r="S19" s="3"/>
      <c r="T19" s="3"/>
      <c r="U19" s="3"/>
      <c r="V19" s="3"/>
      <c r="W19" s="3"/>
      <c r="X19" s="3"/>
      <c r="Y19" s="3"/>
      <c r="Z19" s="3"/>
    </row>
    <row r="20">
      <c r="A20" s="19" t="s">
        <v>19</v>
      </c>
      <c r="B20" s="19" t="s">
        <v>20</v>
      </c>
      <c r="C20" s="19" t="s">
        <v>21</v>
      </c>
      <c r="D20" s="19">
        <f t="shared" si="1"/>
        <v>9</v>
      </c>
      <c r="E20" s="19">
        <f t="shared" si="2"/>
        <v>0</v>
      </c>
      <c r="F20" s="19">
        <f t="shared" si="3"/>
        <v>8</v>
      </c>
      <c r="G20" s="19">
        <f t="shared" si="4"/>
        <v>1</v>
      </c>
      <c r="H20" s="19">
        <f t="shared" si="5"/>
        <v>1</v>
      </c>
      <c r="I20" s="3"/>
      <c r="J20" s="3"/>
      <c r="K20" s="3"/>
      <c r="L20" s="3"/>
      <c r="M20" s="3"/>
      <c r="N20" s="3"/>
      <c r="O20" s="3"/>
      <c r="P20" s="3"/>
      <c r="Q20" s="3"/>
      <c r="R20" s="3"/>
      <c r="S20" s="3"/>
      <c r="T20" s="3"/>
      <c r="U20" s="3"/>
      <c r="V20" s="3"/>
      <c r="W20" s="3"/>
      <c r="X20" s="3"/>
      <c r="Y20" s="3"/>
      <c r="Z20" s="3"/>
    </row>
    <row r="21">
      <c r="A21" s="19" t="s">
        <v>22</v>
      </c>
      <c r="B21" s="19" t="s">
        <v>23</v>
      </c>
      <c r="C21" s="19" t="s">
        <v>24</v>
      </c>
      <c r="D21" s="19">
        <f t="shared" si="1"/>
        <v>11</v>
      </c>
      <c r="E21" s="19">
        <f t="shared" si="2"/>
        <v>0</v>
      </c>
      <c r="F21" s="19">
        <f t="shared" si="3"/>
        <v>9</v>
      </c>
      <c r="G21" s="19">
        <f t="shared" si="4"/>
        <v>2</v>
      </c>
      <c r="H21" s="19">
        <f t="shared" si="5"/>
        <v>2</v>
      </c>
      <c r="I21" s="3"/>
      <c r="J21" s="3"/>
      <c r="K21" s="3"/>
      <c r="L21" s="3"/>
      <c r="M21" s="3"/>
      <c r="N21" s="3"/>
      <c r="O21" s="3"/>
      <c r="P21" s="3"/>
      <c r="Q21" s="3"/>
      <c r="R21" s="3"/>
      <c r="S21" s="3"/>
      <c r="T21" s="3"/>
      <c r="U21" s="3"/>
      <c r="V21" s="3"/>
      <c r="W21" s="3"/>
      <c r="X21" s="3"/>
      <c r="Y21" s="3"/>
      <c r="Z21" s="3"/>
    </row>
    <row r="22">
      <c r="A22" s="19" t="s">
        <v>25</v>
      </c>
      <c r="B22" s="19" t="s">
        <v>26</v>
      </c>
      <c r="C22" s="19" t="s">
        <v>27</v>
      </c>
      <c r="D22" s="19">
        <f t="shared" si="1"/>
        <v>5</v>
      </c>
      <c r="E22" s="19">
        <f t="shared" si="2"/>
        <v>0</v>
      </c>
      <c r="F22" s="19">
        <f t="shared" si="3"/>
        <v>4</v>
      </c>
      <c r="G22" s="19">
        <f t="shared" si="4"/>
        <v>1</v>
      </c>
      <c r="H22" s="19">
        <f t="shared" si="5"/>
        <v>1</v>
      </c>
      <c r="I22" s="3"/>
      <c r="J22" s="3"/>
      <c r="K22" s="3"/>
      <c r="L22" s="3"/>
      <c r="M22" s="3"/>
      <c r="N22" s="3"/>
      <c r="O22" s="3"/>
      <c r="P22" s="3"/>
      <c r="Q22" s="3"/>
      <c r="R22" s="3"/>
      <c r="S22" s="3"/>
      <c r="T22" s="3"/>
      <c r="U22" s="3"/>
      <c r="V22" s="3"/>
      <c r="W22" s="3"/>
      <c r="X22" s="3"/>
      <c r="Y22" s="3"/>
      <c r="Z22" s="3"/>
    </row>
    <row r="23">
      <c r="A23" s="19" t="s">
        <v>28</v>
      </c>
      <c r="B23" s="19" t="s">
        <v>29</v>
      </c>
      <c r="C23" s="19" t="s">
        <v>30</v>
      </c>
      <c r="D23" s="19">
        <f t="shared" si="1"/>
        <v>18</v>
      </c>
      <c r="E23" s="19">
        <f t="shared" si="2"/>
        <v>0</v>
      </c>
      <c r="F23" s="19">
        <f t="shared" si="3"/>
        <v>8</v>
      </c>
      <c r="G23" s="19">
        <f t="shared" si="4"/>
        <v>10</v>
      </c>
      <c r="H23" s="19">
        <f t="shared" si="5"/>
        <v>10</v>
      </c>
      <c r="I23" s="3"/>
      <c r="J23" s="3"/>
      <c r="K23" s="3"/>
      <c r="L23" s="3"/>
      <c r="M23" s="3"/>
      <c r="N23" s="3"/>
      <c r="O23" s="3"/>
      <c r="P23" s="3"/>
      <c r="Q23" s="3"/>
      <c r="R23" s="3"/>
      <c r="S23" s="3"/>
      <c r="T23" s="3"/>
      <c r="U23" s="3"/>
      <c r="V23" s="3"/>
      <c r="W23" s="3"/>
      <c r="X23" s="3"/>
      <c r="Y23" s="3"/>
      <c r="Z23" s="3"/>
    </row>
    <row r="24">
      <c r="A24" s="19" t="s">
        <v>31</v>
      </c>
      <c r="B24" s="19" t="s">
        <v>32</v>
      </c>
      <c r="C24" s="19" t="s">
        <v>33</v>
      </c>
      <c r="D24" s="19">
        <f t="shared" si="1"/>
        <v>9</v>
      </c>
      <c r="E24" s="19">
        <f t="shared" si="2"/>
        <v>0</v>
      </c>
      <c r="F24" s="19">
        <f t="shared" si="3"/>
        <v>4</v>
      </c>
      <c r="G24" s="19">
        <f t="shared" si="4"/>
        <v>5</v>
      </c>
      <c r="H24" s="19">
        <f t="shared" si="5"/>
        <v>5</v>
      </c>
      <c r="I24" s="3"/>
      <c r="J24" s="3"/>
      <c r="K24" s="3"/>
      <c r="L24" s="3"/>
      <c r="M24" s="3"/>
      <c r="N24" s="3"/>
      <c r="O24" s="3"/>
      <c r="P24" s="3"/>
      <c r="Q24" s="3"/>
      <c r="R24" s="3"/>
      <c r="S24" s="3"/>
      <c r="T24" s="3"/>
      <c r="U24" s="3"/>
      <c r="V24" s="3"/>
      <c r="W24" s="3"/>
      <c r="X24" s="3"/>
      <c r="Y24" s="3"/>
      <c r="Z24" s="3"/>
    </row>
    <row r="25">
      <c r="A25" s="19" t="s">
        <v>34</v>
      </c>
      <c r="B25" s="19" t="s">
        <v>35</v>
      </c>
      <c r="C25" s="19" t="s">
        <v>36</v>
      </c>
      <c r="D25" s="19">
        <f t="shared" si="1"/>
        <v>29</v>
      </c>
      <c r="E25" s="19">
        <f t="shared" si="2"/>
        <v>2</v>
      </c>
      <c r="F25" s="19">
        <f t="shared" si="3"/>
        <v>25</v>
      </c>
      <c r="G25" s="19">
        <f t="shared" si="4"/>
        <v>4</v>
      </c>
      <c r="H25" s="19">
        <f t="shared" si="5"/>
        <v>4</v>
      </c>
      <c r="I25" s="3"/>
      <c r="J25" s="3"/>
      <c r="K25" s="3"/>
      <c r="L25" s="3"/>
      <c r="M25" s="3"/>
      <c r="N25" s="3"/>
      <c r="O25" s="3"/>
      <c r="P25" s="3"/>
      <c r="Q25" s="3"/>
      <c r="R25" s="3"/>
      <c r="S25" s="3"/>
      <c r="T25" s="3"/>
      <c r="U25" s="3"/>
      <c r="V25" s="3"/>
      <c r="W25" s="3"/>
      <c r="X25" s="3"/>
      <c r="Y25" s="3"/>
      <c r="Z25" s="3"/>
    </row>
    <row r="26">
      <c r="A26" s="19" t="s">
        <v>37</v>
      </c>
      <c r="B26" s="19" t="s">
        <v>38</v>
      </c>
      <c r="C26" s="19" t="s">
        <v>39</v>
      </c>
      <c r="D26" s="19">
        <f t="shared" si="1"/>
        <v>4</v>
      </c>
      <c r="E26" s="19">
        <f t="shared" si="2"/>
        <v>8</v>
      </c>
      <c r="F26" s="19">
        <f t="shared" si="3"/>
        <v>3</v>
      </c>
      <c r="G26" s="19">
        <f t="shared" si="4"/>
        <v>1</v>
      </c>
      <c r="H26" s="19">
        <f t="shared" si="5"/>
        <v>1</v>
      </c>
      <c r="I26" s="3"/>
      <c r="J26" s="3"/>
      <c r="K26" s="3"/>
      <c r="L26" s="3"/>
      <c r="M26" s="3"/>
      <c r="N26" s="3"/>
      <c r="O26" s="3"/>
      <c r="P26" s="3"/>
      <c r="Q26" s="3"/>
      <c r="R26" s="3"/>
      <c r="S26" s="3"/>
      <c r="T26" s="3"/>
      <c r="U26" s="3"/>
      <c r="V26" s="3"/>
      <c r="W26" s="3"/>
      <c r="X26" s="3"/>
      <c r="Y26" s="3"/>
      <c r="Z26" s="3"/>
    </row>
    <row r="27">
      <c r="A27" s="19" t="s">
        <v>40</v>
      </c>
      <c r="B27" s="19" t="s">
        <v>41</v>
      </c>
      <c r="C27" s="19" t="s">
        <v>42</v>
      </c>
      <c r="D27" s="19">
        <f t="shared" si="1"/>
        <v>2</v>
      </c>
      <c r="E27" s="19">
        <f t="shared" si="2"/>
        <v>3</v>
      </c>
      <c r="F27" s="19">
        <f t="shared" si="3"/>
        <v>2</v>
      </c>
      <c r="G27" s="19">
        <f t="shared" si="4"/>
        <v>0</v>
      </c>
      <c r="H27" s="19">
        <f t="shared" si="5"/>
        <v>0</v>
      </c>
      <c r="I27" s="3"/>
      <c r="J27" s="3"/>
      <c r="K27" s="3"/>
      <c r="L27" s="3"/>
      <c r="M27" s="3"/>
      <c r="N27" s="3"/>
      <c r="O27" s="3"/>
      <c r="P27" s="3"/>
      <c r="Q27" s="3"/>
      <c r="R27" s="3"/>
      <c r="S27" s="3"/>
      <c r="T27" s="3"/>
      <c r="U27" s="3"/>
      <c r="V27" s="3"/>
      <c r="W27" s="3"/>
      <c r="X27" s="3"/>
      <c r="Y27" s="3"/>
      <c r="Z27" s="3"/>
    </row>
    <row r="28">
      <c r="A28" s="19" t="s">
        <v>43</v>
      </c>
      <c r="B28" s="19" t="s">
        <v>44</v>
      </c>
      <c r="C28" s="19" t="s">
        <v>45</v>
      </c>
      <c r="D28" s="19">
        <f t="shared" si="1"/>
        <v>4</v>
      </c>
      <c r="E28" s="19">
        <f t="shared" si="2"/>
        <v>0</v>
      </c>
      <c r="F28" s="19">
        <f t="shared" si="3"/>
        <v>4</v>
      </c>
      <c r="G28" s="19">
        <f t="shared" si="4"/>
        <v>0</v>
      </c>
      <c r="H28" s="19">
        <f t="shared" si="5"/>
        <v>0</v>
      </c>
      <c r="I28" s="3"/>
      <c r="J28" s="3"/>
      <c r="K28" s="3"/>
      <c r="L28" s="3"/>
      <c r="M28" s="3"/>
      <c r="N28" s="3"/>
      <c r="O28" s="3"/>
      <c r="P28" s="3"/>
      <c r="Q28" s="3"/>
      <c r="R28" s="3"/>
      <c r="S28" s="3"/>
      <c r="T28" s="3"/>
      <c r="U28" s="3"/>
      <c r="V28" s="3"/>
      <c r="W28" s="3"/>
      <c r="X28" s="3"/>
      <c r="Y28" s="3"/>
      <c r="Z28" s="3"/>
    </row>
    <row r="29">
      <c r="A29" s="19" t="s">
        <v>46</v>
      </c>
      <c r="B29" s="19" t="s">
        <v>47</v>
      </c>
      <c r="C29" s="19" t="s">
        <v>48</v>
      </c>
      <c r="D29" s="19">
        <f t="shared" si="1"/>
        <v>9</v>
      </c>
      <c r="E29" s="19">
        <f t="shared" si="2"/>
        <v>0</v>
      </c>
      <c r="F29" s="19">
        <f t="shared" si="3"/>
        <v>7</v>
      </c>
      <c r="G29" s="19">
        <f t="shared" si="4"/>
        <v>2</v>
      </c>
      <c r="H29" s="19">
        <f t="shared" si="5"/>
        <v>1</v>
      </c>
      <c r="I29" s="3"/>
      <c r="J29" s="3"/>
      <c r="K29" s="3"/>
      <c r="L29" s="3"/>
      <c r="M29" s="3"/>
      <c r="N29" s="3"/>
      <c r="O29" s="3"/>
      <c r="P29" s="3"/>
      <c r="Q29" s="3"/>
      <c r="R29" s="3"/>
      <c r="S29" s="3"/>
      <c r="T29" s="3"/>
      <c r="U29" s="3"/>
      <c r="V29" s="3"/>
      <c r="W29" s="3"/>
      <c r="X29" s="3"/>
      <c r="Y29" s="3"/>
      <c r="Z29" s="3"/>
    </row>
    <row r="30">
      <c r="A30" s="19" t="s">
        <v>49</v>
      </c>
      <c r="B30" s="19" t="s">
        <v>50</v>
      </c>
      <c r="C30" s="19" t="s">
        <v>51</v>
      </c>
      <c r="D30" s="19">
        <f t="shared" si="1"/>
        <v>4</v>
      </c>
      <c r="E30" s="19">
        <f t="shared" si="2"/>
        <v>0</v>
      </c>
      <c r="F30" s="19">
        <f t="shared" si="3"/>
        <v>3</v>
      </c>
      <c r="G30" s="19">
        <f t="shared" si="4"/>
        <v>1</v>
      </c>
      <c r="H30" s="19">
        <f t="shared" si="5"/>
        <v>1</v>
      </c>
      <c r="I30" s="3"/>
      <c r="J30" s="3"/>
      <c r="K30" s="3"/>
      <c r="L30" s="3"/>
      <c r="M30" s="3"/>
      <c r="N30" s="3"/>
      <c r="O30" s="3"/>
      <c r="P30" s="3"/>
      <c r="Q30" s="3"/>
      <c r="R30" s="3"/>
      <c r="S30" s="3"/>
      <c r="T30" s="3"/>
      <c r="U30" s="3"/>
      <c r="V30" s="3"/>
      <c r="W30" s="3"/>
      <c r="X30" s="3"/>
      <c r="Y30" s="3"/>
      <c r="Z30" s="3"/>
    </row>
    <row r="31">
      <c r="A31" s="19" t="s">
        <v>52</v>
      </c>
      <c r="B31" s="19" t="s">
        <v>53</v>
      </c>
      <c r="C31" s="19" t="s">
        <v>54</v>
      </c>
      <c r="D31" s="19">
        <f t="shared" si="1"/>
        <v>33</v>
      </c>
      <c r="E31" s="19">
        <f t="shared" si="2"/>
        <v>0</v>
      </c>
      <c r="F31" s="19">
        <f t="shared" si="3"/>
        <v>10</v>
      </c>
      <c r="G31" s="19">
        <f t="shared" si="4"/>
        <v>23</v>
      </c>
      <c r="H31" s="19">
        <f t="shared" si="5"/>
        <v>23</v>
      </c>
      <c r="I31" s="3"/>
      <c r="J31" s="3"/>
      <c r="K31" s="3"/>
      <c r="L31" s="3"/>
      <c r="M31" s="3"/>
      <c r="N31" s="3"/>
      <c r="O31" s="3"/>
      <c r="P31" s="3"/>
      <c r="Q31" s="3"/>
      <c r="R31" s="3"/>
      <c r="S31" s="3"/>
      <c r="T31" s="3"/>
      <c r="U31" s="3"/>
      <c r="V31" s="3"/>
      <c r="W31" s="3"/>
      <c r="X31" s="3"/>
      <c r="Y31" s="3"/>
      <c r="Z31" s="3"/>
    </row>
    <row r="32">
      <c r="A32" s="19" t="s">
        <v>55</v>
      </c>
      <c r="B32" s="19" t="s">
        <v>56</v>
      </c>
      <c r="C32" s="19" t="s">
        <v>57</v>
      </c>
      <c r="D32" s="19">
        <f t="shared" si="1"/>
        <v>29</v>
      </c>
      <c r="E32" s="19">
        <f t="shared" si="2"/>
        <v>2</v>
      </c>
      <c r="F32" s="19">
        <f t="shared" si="3"/>
        <v>14</v>
      </c>
      <c r="G32" s="19">
        <f t="shared" si="4"/>
        <v>15</v>
      </c>
      <c r="H32" s="19">
        <f t="shared" si="5"/>
        <v>15</v>
      </c>
      <c r="I32" s="3"/>
      <c r="J32" s="3"/>
      <c r="K32" s="3"/>
      <c r="L32" s="3"/>
      <c r="M32" s="3"/>
      <c r="N32" s="3"/>
      <c r="O32" s="3"/>
      <c r="P32" s="3"/>
      <c r="Q32" s="3"/>
      <c r="R32" s="3"/>
      <c r="S32" s="3"/>
      <c r="T32" s="3"/>
      <c r="U32" s="3"/>
      <c r="V32" s="3"/>
      <c r="W32" s="3"/>
      <c r="X32" s="3"/>
      <c r="Y32" s="3"/>
      <c r="Z32" s="3"/>
    </row>
    <row r="33">
      <c r="A33" s="19" t="s">
        <v>58</v>
      </c>
      <c r="B33" s="19" t="s">
        <v>59</v>
      </c>
      <c r="C33" s="19" t="s">
        <v>60</v>
      </c>
      <c r="D33" s="19">
        <f t="shared" si="1"/>
        <v>30</v>
      </c>
      <c r="E33" s="19">
        <f t="shared" si="2"/>
        <v>1</v>
      </c>
      <c r="F33" s="19">
        <f t="shared" si="3"/>
        <v>15</v>
      </c>
      <c r="G33" s="19">
        <f t="shared" si="4"/>
        <v>15</v>
      </c>
      <c r="H33" s="19">
        <f t="shared" si="5"/>
        <v>15</v>
      </c>
      <c r="I33" s="3"/>
      <c r="J33" s="3"/>
      <c r="K33" s="3"/>
      <c r="L33" s="3"/>
      <c r="M33" s="3"/>
      <c r="N33" s="3"/>
      <c r="O33" s="3"/>
      <c r="P33" s="3"/>
      <c r="Q33" s="3"/>
      <c r="R33" s="3"/>
      <c r="S33" s="3"/>
      <c r="T33" s="3"/>
      <c r="U33" s="3"/>
      <c r="V33" s="3"/>
      <c r="W33" s="3"/>
      <c r="X33" s="3"/>
      <c r="Y33" s="3"/>
      <c r="Z33" s="3"/>
    </row>
    <row r="34">
      <c r="A34" s="19" t="s">
        <v>61</v>
      </c>
      <c r="B34" s="19" t="s">
        <v>62</v>
      </c>
      <c r="C34" s="19" t="s">
        <v>63</v>
      </c>
      <c r="D34" s="19">
        <f t="shared" si="1"/>
        <v>6</v>
      </c>
      <c r="E34" s="19">
        <f t="shared" si="2"/>
        <v>0</v>
      </c>
      <c r="F34" s="19">
        <f t="shared" si="3"/>
        <v>4</v>
      </c>
      <c r="G34" s="19">
        <f t="shared" si="4"/>
        <v>2</v>
      </c>
      <c r="H34" s="19">
        <f t="shared" si="5"/>
        <v>2</v>
      </c>
      <c r="I34" s="3"/>
      <c r="J34" s="3"/>
      <c r="K34" s="3"/>
      <c r="L34" s="3"/>
      <c r="M34" s="3"/>
      <c r="N34" s="3"/>
      <c r="O34" s="3"/>
      <c r="P34" s="3"/>
      <c r="Q34" s="3"/>
      <c r="R34" s="3"/>
      <c r="S34" s="3"/>
      <c r="T34" s="3"/>
      <c r="U34" s="3"/>
      <c r="V34" s="3"/>
      <c r="W34" s="3"/>
      <c r="X34" s="3"/>
      <c r="Y34" s="3"/>
      <c r="Z34" s="3"/>
    </row>
    <row r="35">
      <c r="A35" s="19" t="s">
        <v>64</v>
      </c>
      <c r="B35" s="19" t="s">
        <v>65</v>
      </c>
      <c r="C35" s="20"/>
      <c r="D35" s="19">
        <f t="shared" si="1"/>
        <v>16</v>
      </c>
      <c r="E35" s="19">
        <f t="shared" si="2"/>
        <v>0</v>
      </c>
      <c r="F35" s="19">
        <f t="shared" si="3"/>
        <v>6</v>
      </c>
      <c r="G35" s="19">
        <f t="shared" si="4"/>
        <v>10</v>
      </c>
      <c r="H35" s="19">
        <f t="shared" si="5"/>
        <v>10</v>
      </c>
      <c r="I35" s="3"/>
      <c r="J35" s="3"/>
      <c r="K35" s="3"/>
      <c r="L35" s="3"/>
      <c r="M35" s="3"/>
      <c r="N35" s="3"/>
      <c r="O35" s="3"/>
      <c r="P35" s="3"/>
      <c r="Q35" s="3"/>
      <c r="R35" s="3"/>
      <c r="S35" s="3"/>
      <c r="T35" s="3"/>
      <c r="U35" s="3"/>
      <c r="V35" s="3"/>
      <c r="W35" s="3"/>
      <c r="X35" s="3"/>
      <c r="Y35" s="3"/>
      <c r="Z35" s="3"/>
    </row>
    <row r="36">
      <c r="A36" s="19" t="s">
        <v>66</v>
      </c>
      <c r="B36" s="19" t="s">
        <v>67</v>
      </c>
      <c r="C36" s="20"/>
      <c r="D36" s="19">
        <f t="shared" si="1"/>
        <v>16</v>
      </c>
      <c r="E36" s="19">
        <f t="shared" si="2"/>
        <v>0</v>
      </c>
      <c r="F36" s="19">
        <f t="shared" si="3"/>
        <v>5</v>
      </c>
      <c r="G36" s="19">
        <f t="shared" si="4"/>
        <v>11</v>
      </c>
      <c r="H36" s="19">
        <f t="shared" si="5"/>
        <v>11</v>
      </c>
      <c r="I36" s="3"/>
      <c r="J36" s="3"/>
      <c r="K36" s="3"/>
      <c r="L36" s="3"/>
      <c r="M36" s="3"/>
      <c r="N36" s="3"/>
      <c r="O36" s="3"/>
      <c r="P36" s="3"/>
      <c r="Q36" s="3"/>
      <c r="R36" s="3"/>
      <c r="S36" s="3"/>
      <c r="T36" s="3"/>
      <c r="U36" s="3"/>
      <c r="V36" s="3"/>
      <c r="W36" s="3"/>
      <c r="X36" s="3"/>
      <c r="Y36" s="3"/>
      <c r="Z36" s="3"/>
    </row>
    <row r="37">
      <c r="A37" s="19" t="s">
        <v>68</v>
      </c>
      <c r="B37" s="19" t="s">
        <v>69</v>
      </c>
      <c r="C37" s="20"/>
      <c r="D37" s="19">
        <f t="shared" si="1"/>
        <v>10</v>
      </c>
      <c r="E37" s="19">
        <f t="shared" si="2"/>
        <v>0</v>
      </c>
      <c r="F37" s="19">
        <f t="shared" si="3"/>
        <v>2</v>
      </c>
      <c r="G37" s="19">
        <f t="shared" si="4"/>
        <v>8</v>
      </c>
      <c r="H37" s="19">
        <f t="shared" si="5"/>
        <v>7</v>
      </c>
      <c r="I37" s="3"/>
      <c r="J37" s="3"/>
      <c r="K37" s="3"/>
      <c r="L37" s="3"/>
      <c r="M37" s="3"/>
      <c r="N37" s="3"/>
      <c r="O37" s="3"/>
      <c r="P37" s="3"/>
      <c r="Q37" s="3"/>
      <c r="R37" s="3"/>
      <c r="S37" s="3"/>
      <c r="T37" s="3"/>
      <c r="U37" s="3"/>
      <c r="V37" s="3"/>
      <c r="W37" s="3"/>
      <c r="X37" s="3"/>
      <c r="Y37" s="3"/>
      <c r="Z37" s="3"/>
    </row>
    <row r="38">
      <c r="A38" s="19" t="s">
        <v>70</v>
      </c>
      <c r="B38" s="19" t="s">
        <v>71</v>
      </c>
      <c r="C38" s="20"/>
      <c r="D38" s="19">
        <f t="shared" si="1"/>
        <v>9</v>
      </c>
      <c r="E38" s="19">
        <f t="shared" si="2"/>
        <v>0</v>
      </c>
      <c r="F38" s="19">
        <f t="shared" si="3"/>
        <v>1</v>
      </c>
      <c r="G38" s="19">
        <f t="shared" si="4"/>
        <v>8</v>
      </c>
      <c r="H38" s="19">
        <f t="shared" si="5"/>
        <v>8</v>
      </c>
      <c r="I38" s="3"/>
      <c r="J38" s="3"/>
      <c r="K38" s="3"/>
      <c r="L38" s="3"/>
      <c r="M38" s="3"/>
      <c r="N38" s="3"/>
      <c r="O38" s="3"/>
      <c r="P38" s="3"/>
      <c r="Q38" s="3"/>
      <c r="R38" s="3"/>
      <c r="S38" s="3"/>
      <c r="T38" s="3"/>
      <c r="U38" s="3"/>
      <c r="V38" s="3"/>
      <c r="W38" s="3"/>
      <c r="X38" s="3"/>
      <c r="Y38" s="3"/>
      <c r="Z38" s="3"/>
    </row>
    <row r="39">
      <c r="A39" s="19" t="s">
        <v>72</v>
      </c>
      <c r="B39" s="19" t="s">
        <v>73</v>
      </c>
      <c r="C39" s="20"/>
      <c r="D39" s="19">
        <f t="shared" si="1"/>
        <v>8</v>
      </c>
      <c r="E39" s="19">
        <f t="shared" si="2"/>
        <v>0</v>
      </c>
      <c r="F39" s="19">
        <f t="shared" si="3"/>
        <v>8</v>
      </c>
      <c r="G39" s="19">
        <f t="shared" si="4"/>
        <v>0</v>
      </c>
      <c r="H39" s="19">
        <f t="shared" si="5"/>
        <v>0</v>
      </c>
      <c r="I39" s="3"/>
      <c r="J39" s="3"/>
      <c r="K39" s="3"/>
      <c r="L39" s="3"/>
      <c r="M39" s="3"/>
      <c r="N39" s="3"/>
      <c r="O39" s="3"/>
      <c r="P39" s="3"/>
      <c r="Q39" s="3"/>
      <c r="R39" s="3"/>
      <c r="S39" s="3"/>
      <c r="T39" s="3"/>
      <c r="U39" s="3"/>
      <c r="V39" s="3"/>
      <c r="W39" s="3"/>
      <c r="X39" s="3"/>
      <c r="Y39" s="3"/>
      <c r="Z39" s="3"/>
    </row>
  </sheetData>
  <mergeCells count="5">
    <mergeCell ref="B1:H1"/>
    <mergeCell ref="C3:H3"/>
    <mergeCell ref="C4:H16"/>
    <mergeCell ref="A10:B10"/>
    <mergeCell ref="A11:B16"/>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74</v>
      </c>
    </row>
    <row r="3">
      <c r="A3" s="21" t="s">
        <v>75</v>
      </c>
    </row>
    <row r="5">
      <c r="A5" s="21" t="s">
        <v>76</v>
      </c>
    </row>
    <row r="6">
      <c r="A6" s="21" t="s">
        <v>77</v>
      </c>
    </row>
    <row r="7">
      <c r="A7" s="21" t="s">
        <v>78</v>
      </c>
    </row>
    <row r="8">
      <c r="A8" s="21" t="s">
        <v>79</v>
      </c>
    </row>
    <row r="9">
      <c r="A9" s="21" t="s">
        <v>80</v>
      </c>
    </row>
    <row r="11">
      <c r="A11" s="21" t="s">
        <v>81</v>
      </c>
    </row>
    <row r="13">
      <c r="A13" s="21" t="s">
        <v>82</v>
      </c>
    </row>
    <row r="14">
      <c r="A14" s="21" t="s">
        <v>83</v>
      </c>
    </row>
    <row r="15">
      <c r="A15" s="21" t="s">
        <v>84</v>
      </c>
    </row>
    <row r="16">
      <c r="A16" s="21" t="s">
        <v>85</v>
      </c>
    </row>
    <row r="17">
      <c r="A17" s="21" t="s">
        <v>86</v>
      </c>
    </row>
    <row r="19">
      <c r="A19" s="21" t="s">
        <v>87</v>
      </c>
    </row>
    <row r="20">
      <c r="A20" s="21" t="s">
        <v>88</v>
      </c>
    </row>
    <row r="22">
      <c r="A22" s="21" t="s">
        <v>89</v>
      </c>
    </row>
    <row r="24">
      <c r="A24" s="21" t="s">
        <v>90</v>
      </c>
    </row>
    <row r="26">
      <c r="A26" s="21" t="s">
        <v>91</v>
      </c>
    </row>
    <row r="28">
      <c r="A28" s="21" t="s">
        <v>92</v>
      </c>
    </row>
    <row r="29">
      <c r="A29" s="21" t="s">
        <v>93</v>
      </c>
    </row>
    <row r="30">
      <c r="A30" s="21" t="s">
        <v>94</v>
      </c>
    </row>
    <row r="31">
      <c r="A31" s="21" t="s">
        <v>95</v>
      </c>
    </row>
    <row r="32">
      <c r="A32" s="21" t="s">
        <v>96</v>
      </c>
    </row>
    <row r="33">
      <c r="A33" s="21" t="s">
        <v>97</v>
      </c>
    </row>
    <row r="35">
      <c r="A35" s="21" t="s">
        <v>89</v>
      </c>
    </row>
    <row r="37">
      <c r="A37" s="21" t="s">
        <v>98</v>
      </c>
    </row>
    <row r="39">
      <c r="A39" s="21" t="s">
        <v>99</v>
      </c>
    </row>
    <row r="40">
      <c r="A40" s="21" t="s">
        <v>100</v>
      </c>
    </row>
    <row r="42">
      <c r="A42" s="21" t="s">
        <v>101</v>
      </c>
    </row>
    <row r="43">
      <c r="A43" s="21" t="s">
        <v>102</v>
      </c>
    </row>
    <row r="44">
      <c r="A44" s="21" t="s">
        <v>103</v>
      </c>
    </row>
    <row r="45">
      <c r="A45" s="21" t="s">
        <v>104</v>
      </c>
    </row>
    <row r="46">
      <c r="A46" s="21" t="s">
        <v>105</v>
      </c>
    </row>
    <row r="47">
      <c r="A47" s="21" t="s">
        <v>106</v>
      </c>
    </row>
    <row r="48">
      <c r="A48" s="21" t="s">
        <v>107</v>
      </c>
    </row>
    <row r="49">
      <c r="A49" s="21" t="s">
        <v>108</v>
      </c>
    </row>
    <row r="50">
      <c r="A50" s="21" t="s">
        <v>109</v>
      </c>
    </row>
    <row r="51">
      <c r="A51" s="21" t="s">
        <v>110</v>
      </c>
    </row>
    <row r="52">
      <c r="A52" s="21" t="s">
        <v>111</v>
      </c>
    </row>
    <row r="53">
      <c r="A53" s="21" t="s">
        <v>112</v>
      </c>
    </row>
    <row r="54">
      <c r="A54" s="21" t="s">
        <v>113</v>
      </c>
    </row>
    <row r="55">
      <c r="A55" s="21" t="s">
        <v>114</v>
      </c>
    </row>
    <row r="56">
      <c r="A56" s="21" t="s">
        <v>115</v>
      </c>
    </row>
    <row r="57">
      <c r="A57" s="21" t="s">
        <v>116</v>
      </c>
    </row>
    <row r="58">
      <c r="A58" s="21" t="s">
        <v>117</v>
      </c>
    </row>
    <row r="59">
      <c r="A59" s="21" t="s">
        <v>118</v>
      </c>
    </row>
    <row r="60">
      <c r="A60" s="21" t="s">
        <v>119</v>
      </c>
    </row>
    <row r="61">
      <c r="A61" s="21" t="s">
        <v>120</v>
      </c>
    </row>
    <row r="62">
      <c r="A62" s="21" t="s">
        <v>121</v>
      </c>
    </row>
    <row r="63">
      <c r="A63" s="21" t="s">
        <v>122</v>
      </c>
    </row>
    <row r="64">
      <c r="A64" s="21" t="s">
        <v>123</v>
      </c>
    </row>
    <row r="65">
      <c r="A65" s="21" t="s">
        <v>124</v>
      </c>
    </row>
    <row r="66">
      <c r="A66" s="21" t="s">
        <v>125</v>
      </c>
    </row>
    <row r="67">
      <c r="A67" s="21" t="s">
        <v>126</v>
      </c>
    </row>
    <row r="68">
      <c r="A68" s="21" t="s">
        <v>127</v>
      </c>
    </row>
    <row r="69">
      <c r="A69" s="21" t="s">
        <v>128</v>
      </c>
    </row>
    <row r="70">
      <c r="A70" s="21" t="s">
        <v>129</v>
      </c>
    </row>
    <row r="72">
      <c r="A72" s="21" t="s">
        <v>89</v>
      </c>
    </row>
    <row r="74">
      <c r="A74" s="21" t="s">
        <v>130</v>
      </c>
    </row>
    <row r="76">
      <c r="A76" s="21" t="s">
        <v>131</v>
      </c>
    </row>
    <row r="78">
      <c r="A78" s="21" t="s">
        <v>132</v>
      </c>
    </row>
    <row r="80">
      <c r="A80" s="21" t="s">
        <v>133</v>
      </c>
    </row>
    <row r="81">
      <c r="A81" s="21" t="s">
        <v>134</v>
      </c>
    </row>
    <row r="82">
      <c r="A82" s="21" t="s">
        <v>135</v>
      </c>
    </row>
    <row r="83">
      <c r="A83" s="21" t="s">
        <v>136</v>
      </c>
    </row>
    <row r="84">
      <c r="A84" s="21" t="s">
        <v>137</v>
      </c>
    </row>
    <row r="85">
      <c r="A85" s="21" t="s">
        <v>138</v>
      </c>
    </row>
    <row r="87">
      <c r="A87" s="21" t="s">
        <v>139</v>
      </c>
    </row>
    <row r="89">
      <c r="A89" s="21" t="s">
        <v>133</v>
      </c>
    </row>
    <row r="90">
      <c r="A90" s="21" t="s">
        <v>134</v>
      </c>
    </row>
    <row r="91">
      <c r="A91" s="21" t="s">
        <v>140</v>
      </c>
    </row>
    <row r="92">
      <c r="A92" s="21" t="s">
        <v>141</v>
      </c>
    </row>
    <row r="93">
      <c r="A93" s="21" t="s">
        <v>142</v>
      </c>
    </row>
    <row r="94">
      <c r="A94" s="21" t="s">
        <v>143</v>
      </c>
    </row>
    <row r="96">
      <c r="A96" s="21" t="s">
        <v>144</v>
      </c>
    </row>
    <row r="98">
      <c r="A98" s="21" t="s">
        <v>133</v>
      </c>
    </row>
    <row r="99">
      <c r="A99" s="21" t="s">
        <v>134</v>
      </c>
    </row>
    <row r="100">
      <c r="A100" s="21" t="s">
        <v>145</v>
      </c>
    </row>
    <row r="101">
      <c r="A101" s="21" t="s">
        <v>146</v>
      </c>
    </row>
    <row r="102">
      <c r="A102" s="21" t="s">
        <v>147</v>
      </c>
    </row>
    <row r="103">
      <c r="A103" s="21" t="s">
        <v>148</v>
      </c>
    </row>
    <row r="104">
      <c r="A104" s="21" t="s">
        <v>149</v>
      </c>
    </row>
    <row r="106">
      <c r="A106" s="21" t="s">
        <v>150</v>
      </c>
    </row>
    <row r="108">
      <c r="A108" s="21" t="s">
        <v>133</v>
      </c>
    </row>
    <row r="109">
      <c r="A109" s="21" t="s">
        <v>134</v>
      </c>
    </row>
    <row r="110">
      <c r="A110" s="21" t="s">
        <v>151</v>
      </c>
    </row>
    <row r="111">
      <c r="A111" s="21" t="s">
        <v>152</v>
      </c>
    </row>
    <row r="112">
      <c r="A112" s="21" t="s">
        <v>153</v>
      </c>
    </row>
    <row r="113">
      <c r="A113" s="21" t="s">
        <v>154</v>
      </c>
    </row>
    <row r="114">
      <c r="A114" s="21" t="s">
        <v>155</v>
      </c>
    </row>
    <row r="116">
      <c r="A116" s="21" t="s">
        <v>156</v>
      </c>
    </row>
    <row r="118">
      <c r="A118" s="21" t="s">
        <v>133</v>
      </c>
    </row>
    <row r="119">
      <c r="A119" s="21" t="s">
        <v>134</v>
      </c>
    </row>
    <row r="120">
      <c r="A120" s="21" t="s">
        <v>157</v>
      </c>
    </row>
    <row r="121">
      <c r="A121" s="21" t="s">
        <v>158</v>
      </c>
    </row>
    <row r="122">
      <c r="A122" s="21" t="s">
        <v>159</v>
      </c>
    </row>
    <row r="123">
      <c r="A123" s="21" t="s">
        <v>160</v>
      </c>
    </row>
    <row r="124">
      <c r="A124" s="21" t="s">
        <v>161</v>
      </c>
    </row>
    <row r="126">
      <c r="A126" s="21" t="s">
        <v>162</v>
      </c>
    </row>
    <row r="128">
      <c r="A128" s="21" t="s">
        <v>133</v>
      </c>
    </row>
    <row r="129">
      <c r="A129" s="21" t="s">
        <v>134</v>
      </c>
    </row>
    <row r="130">
      <c r="A130" s="21" t="s">
        <v>163</v>
      </c>
    </row>
    <row r="131">
      <c r="A131" s="21" t="s">
        <v>164</v>
      </c>
    </row>
    <row r="132">
      <c r="A132" s="21" t="s">
        <v>165</v>
      </c>
    </row>
    <row r="133">
      <c r="A133" s="21" t="s">
        <v>166</v>
      </c>
    </row>
    <row r="134">
      <c r="A134" s="21" t="s">
        <v>167</v>
      </c>
    </row>
    <row r="136">
      <c r="A136" s="21" t="s">
        <v>168</v>
      </c>
    </row>
    <row r="138">
      <c r="A138" s="21" t="s">
        <v>133</v>
      </c>
    </row>
    <row r="139">
      <c r="A139" s="21" t="s">
        <v>134</v>
      </c>
    </row>
    <row r="140">
      <c r="A140" s="21" t="s">
        <v>169</v>
      </c>
    </row>
    <row r="141">
      <c r="A141" s="21" t="s">
        <v>170</v>
      </c>
    </row>
    <row r="142">
      <c r="A142" s="21" t="s">
        <v>171</v>
      </c>
    </row>
    <row r="143">
      <c r="A143" s="21" t="s">
        <v>172</v>
      </c>
    </row>
    <row r="145">
      <c r="A145" s="21" t="s">
        <v>89</v>
      </c>
    </row>
    <row r="147">
      <c r="A147" s="21" t="s">
        <v>173</v>
      </c>
    </row>
    <row r="149">
      <c r="A149" s="21" t="s">
        <v>174</v>
      </c>
    </row>
    <row r="150">
      <c r="A150" s="21" t="s">
        <v>175</v>
      </c>
    </row>
    <row r="151">
      <c r="A151" s="21" t="s">
        <v>176</v>
      </c>
    </row>
    <row r="152">
      <c r="A152" s="21" t="s">
        <v>177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24.13"/>
    <col customWidth="1" min="3" max="3" width="16.13"/>
    <col customWidth="1" min="4" max="4" width="53.75"/>
    <col customWidth="1" min="5" max="5" width="34.75"/>
    <col customWidth="1" min="6" max="6" width="17.5"/>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179</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181</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COUNTA(D14:D29)</f>
        <v>16</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COUNTIFS(D14:D29, "&lt;&gt;", G14:G29, "&lt;&gt;")</f>
        <v>16</v>
      </c>
      <c r="C5" s="11" t="s">
        <v>182</v>
      </c>
      <c r="D5" s="12"/>
      <c r="E5" s="13"/>
      <c r="F5" s="11" t="s">
        <v>183</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COUNTIF($G$14:$G29,A7)</f>
        <v>6</v>
      </c>
      <c r="C7" s="14"/>
      <c r="E7" s="15"/>
      <c r="F7" s="14"/>
      <c r="I7" s="15"/>
      <c r="J7" s="3"/>
      <c r="K7" s="3"/>
      <c r="L7" s="3"/>
      <c r="M7" s="3"/>
      <c r="N7" s="3"/>
      <c r="O7" s="3"/>
      <c r="P7" s="3"/>
      <c r="Q7" s="3"/>
      <c r="R7" s="3"/>
      <c r="S7" s="3"/>
      <c r="T7" s="3"/>
      <c r="U7" s="3"/>
      <c r="V7" s="3"/>
      <c r="W7" s="3"/>
      <c r="X7" s="3"/>
      <c r="Y7" s="3"/>
      <c r="Z7" s="3"/>
      <c r="AA7" s="3"/>
      <c r="AB7" s="3"/>
    </row>
    <row r="8">
      <c r="A8" s="6" t="s">
        <v>8</v>
      </c>
      <c r="B8" s="7">
        <f t="shared" si="1"/>
        <v>10</v>
      </c>
      <c r="C8" s="14"/>
      <c r="E8" s="15"/>
      <c r="F8" s="14"/>
      <c r="I8" s="15"/>
      <c r="J8" s="3"/>
      <c r="K8" s="3"/>
      <c r="L8" s="3"/>
      <c r="M8" s="3"/>
      <c r="N8" s="3"/>
      <c r="O8" s="3"/>
      <c r="P8" s="3"/>
      <c r="Q8" s="3"/>
      <c r="R8" s="3"/>
      <c r="S8" s="3"/>
      <c r="T8" s="3"/>
      <c r="U8" s="3"/>
      <c r="V8" s="3"/>
      <c r="W8" s="3"/>
      <c r="X8" s="3"/>
      <c r="Y8" s="3"/>
      <c r="Z8" s="3"/>
      <c r="AA8" s="3"/>
      <c r="AB8" s="3"/>
    </row>
    <row r="9">
      <c r="A9" s="6" t="s">
        <v>184</v>
      </c>
      <c r="B9" s="23">
        <f>IFERROR(B7/B4,0)</f>
        <v>0.375</v>
      </c>
      <c r="C9" s="14"/>
      <c r="E9" s="15"/>
      <c r="F9" s="14"/>
      <c r="I9" s="15"/>
      <c r="J9" s="3"/>
      <c r="K9" s="3"/>
      <c r="L9" s="3"/>
      <c r="M9" s="3"/>
      <c r="N9" s="3"/>
      <c r="O9" s="3"/>
      <c r="P9" s="3"/>
      <c r="Q9" s="3"/>
      <c r="R9" s="3"/>
      <c r="S9" s="3"/>
      <c r="T9" s="3"/>
      <c r="U9" s="3"/>
      <c r="V9" s="3"/>
      <c r="W9" s="3"/>
      <c r="X9" s="3"/>
      <c r="Y9" s="3"/>
      <c r="Z9" s="3"/>
      <c r="AA9" s="3"/>
      <c r="AB9" s="3"/>
    </row>
    <row r="10" ht="227.25" customHeight="1">
      <c r="A10" s="6" t="s">
        <v>9</v>
      </c>
      <c r="B10" s="7">
        <f>SUM(H14:H29)</f>
        <v>10</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24" t="s">
        <v>12</v>
      </c>
      <c r="B12" s="24" t="s">
        <v>14</v>
      </c>
      <c r="C12" s="24" t="s">
        <v>185</v>
      </c>
      <c r="D12" s="24" t="s">
        <v>186</v>
      </c>
      <c r="E12" s="24" t="s">
        <v>187</v>
      </c>
      <c r="F12" s="24" t="s">
        <v>188</v>
      </c>
      <c r="G12" s="24" t="s">
        <v>189</v>
      </c>
      <c r="H12" s="24" t="s">
        <v>190</v>
      </c>
      <c r="I12" s="24" t="s">
        <v>191</v>
      </c>
      <c r="J12" s="3"/>
      <c r="K12" s="3"/>
      <c r="L12" s="3"/>
      <c r="M12" s="3"/>
      <c r="N12" s="3"/>
      <c r="O12" s="3"/>
      <c r="P12" s="3"/>
      <c r="Q12" s="3"/>
      <c r="R12" s="3"/>
      <c r="S12" s="3"/>
      <c r="T12" s="3"/>
      <c r="U12" s="3"/>
      <c r="V12" s="3"/>
      <c r="W12" s="3"/>
      <c r="X12" s="3"/>
      <c r="Y12" s="3"/>
      <c r="Z12" s="3"/>
      <c r="AA12" s="3"/>
      <c r="AB12" s="3"/>
    </row>
    <row r="13">
      <c r="A13" s="25" t="s">
        <v>64</v>
      </c>
      <c r="B13" s="25" t="s">
        <v>192</v>
      </c>
      <c r="J13" s="3"/>
      <c r="K13" s="3"/>
      <c r="L13" s="3"/>
      <c r="M13" s="3"/>
      <c r="N13" s="3"/>
      <c r="O13" s="3"/>
      <c r="P13" s="3"/>
      <c r="Q13" s="3"/>
      <c r="R13" s="3"/>
      <c r="S13" s="3"/>
      <c r="T13" s="3"/>
      <c r="U13" s="3"/>
      <c r="V13" s="3"/>
      <c r="W13" s="3"/>
      <c r="X13" s="3"/>
      <c r="Y13" s="3"/>
      <c r="Z13" s="3"/>
      <c r="AA13" s="3"/>
      <c r="AB13" s="3"/>
    </row>
    <row r="14">
      <c r="A14" s="26" t="s">
        <v>193</v>
      </c>
      <c r="B14" s="27" t="s">
        <v>194</v>
      </c>
      <c r="C14" s="19" t="s">
        <v>195</v>
      </c>
      <c r="D14" s="27" t="s">
        <v>196</v>
      </c>
      <c r="E14" s="27" t="s">
        <v>197</v>
      </c>
      <c r="F14" s="28" t="s">
        <v>198</v>
      </c>
      <c r="G14" s="28" t="s">
        <v>7</v>
      </c>
      <c r="H14" s="29"/>
      <c r="I14" s="29"/>
      <c r="J14" s="3"/>
      <c r="K14" s="3"/>
      <c r="L14" s="3"/>
      <c r="M14" s="3"/>
      <c r="N14" s="3"/>
      <c r="O14" s="3"/>
      <c r="P14" s="3"/>
      <c r="Q14" s="3"/>
      <c r="R14" s="3"/>
      <c r="S14" s="3"/>
      <c r="T14" s="3"/>
      <c r="U14" s="3"/>
      <c r="V14" s="3"/>
      <c r="W14" s="3"/>
      <c r="X14" s="3"/>
      <c r="Y14" s="3"/>
      <c r="Z14" s="3"/>
      <c r="AA14" s="3"/>
      <c r="AB14" s="3"/>
    </row>
    <row r="15">
      <c r="A15" s="26" t="s">
        <v>199</v>
      </c>
      <c r="B15" s="27" t="s">
        <v>200</v>
      </c>
      <c r="C15" s="19" t="s">
        <v>201</v>
      </c>
      <c r="D15" s="27" t="s">
        <v>202</v>
      </c>
      <c r="E15" s="27" t="s">
        <v>203</v>
      </c>
      <c r="F15" s="28" t="s">
        <v>204</v>
      </c>
      <c r="G15" s="28" t="s">
        <v>7</v>
      </c>
      <c r="H15" s="29"/>
      <c r="I15" s="28"/>
      <c r="J15" s="3"/>
      <c r="K15" s="3"/>
      <c r="L15" s="3"/>
      <c r="M15" s="3"/>
      <c r="N15" s="3"/>
      <c r="O15" s="3"/>
      <c r="P15" s="3"/>
      <c r="Q15" s="3"/>
      <c r="R15" s="3"/>
      <c r="S15" s="3"/>
      <c r="T15" s="3"/>
      <c r="U15" s="3"/>
      <c r="V15" s="3"/>
      <c r="W15" s="3"/>
      <c r="X15" s="3"/>
      <c r="Y15" s="3"/>
      <c r="Z15" s="3"/>
      <c r="AA15" s="3"/>
      <c r="AB15" s="3"/>
    </row>
    <row r="16">
      <c r="A16" s="26" t="s">
        <v>205</v>
      </c>
      <c r="B16" s="27" t="s">
        <v>206</v>
      </c>
      <c r="C16" s="19" t="s">
        <v>201</v>
      </c>
      <c r="D16" s="27" t="s">
        <v>207</v>
      </c>
      <c r="E16" s="27" t="s">
        <v>208</v>
      </c>
      <c r="F16" s="28" t="s">
        <v>209</v>
      </c>
      <c r="G16" s="28" t="s">
        <v>8</v>
      </c>
      <c r="H16" s="28">
        <v>1.0</v>
      </c>
      <c r="I16" s="28" t="s">
        <v>210</v>
      </c>
      <c r="J16" s="3"/>
      <c r="K16" s="3"/>
      <c r="L16" s="3"/>
      <c r="M16" s="3"/>
      <c r="N16" s="3"/>
      <c r="O16" s="3"/>
      <c r="P16" s="3"/>
      <c r="Q16" s="3"/>
      <c r="R16" s="3"/>
      <c r="S16" s="3"/>
      <c r="T16" s="3"/>
      <c r="U16" s="3"/>
      <c r="V16" s="3"/>
      <c r="W16" s="3"/>
      <c r="X16" s="3"/>
      <c r="Y16" s="3"/>
      <c r="Z16" s="3"/>
      <c r="AA16" s="3"/>
      <c r="AB16" s="3"/>
    </row>
    <row r="17">
      <c r="A17" s="26" t="s">
        <v>211</v>
      </c>
      <c r="B17" s="27" t="s">
        <v>212</v>
      </c>
      <c r="C17" s="19" t="s">
        <v>201</v>
      </c>
      <c r="D17" s="27" t="s">
        <v>213</v>
      </c>
      <c r="E17" s="27" t="s">
        <v>214</v>
      </c>
      <c r="F17" s="21" t="s">
        <v>215</v>
      </c>
      <c r="G17" s="28" t="s">
        <v>7</v>
      </c>
      <c r="H17" s="29"/>
      <c r="I17" s="29"/>
      <c r="J17" s="3"/>
      <c r="K17" s="3"/>
      <c r="L17" s="3"/>
      <c r="M17" s="3"/>
      <c r="N17" s="3"/>
      <c r="O17" s="3"/>
      <c r="P17" s="3"/>
      <c r="Q17" s="3"/>
      <c r="R17" s="3"/>
      <c r="S17" s="3"/>
      <c r="T17" s="3"/>
      <c r="U17" s="3"/>
      <c r="V17" s="3"/>
      <c r="W17" s="3"/>
      <c r="X17" s="3"/>
      <c r="Y17" s="3"/>
      <c r="Z17" s="3"/>
      <c r="AA17" s="3"/>
      <c r="AB17" s="3"/>
    </row>
    <row r="18">
      <c r="A18" s="26" t="s">
        <v>216</v>
      </c>
      <c r="B18" s="27" t="s">
        <v>217</v>
      </c>
      <c r="C18" s="19" t="s">
        <v>201</v>
      </c>
      <c r="D18" s="27" t="s">
        <v>218</v>
      </c>
      <c r="E18" s="27" t="s">
        <v>219</v>
      </c>
      <c r="F18" s="21" t="s">
        <v>220</v>
      </c>
      <c r="G18" s="28" t="s">
        <v>8</v>
      </c>
      <c r="H18" s="28">
        <v>1.0</v>
      </c>
      <c r="I18" s="28" t="s">
        <v>221</v>
      </c>
      <c r="J18" s="3"/>
      <c r="K18" s="3"/>
      <c r="L18" s="3"/>
      <c r="M18" s="3"/>
      <c r="N18" s="3"/>
      <c r="O18" s="3"/>
      <c r="P18" s="3"/>
      <c r="Q18" s="3"/>
      <c r="R18" s="3"/>
      <c r="S18" s="3"/>
      <c r="T18" s="3"/>
      <c r="U18" s="3"/>
      <c r="V18" s="3"/>
      <c r="W18" s="3"/>
      <c r="X18" s="3"/>
      <c r="Y18" s="3"/>
      <c r="Z18" s="3"/>
      <c r="AA18" s="3"/>
      <c r="AB18" s="3"/>
    </row>
    <row r="19">
      <c r="A19" s="26" t="s">
        <v>222</v>
      </c>
      <c r="B19" s="27" t="s">
        <v>223</v>
      </c>
      <c r="C19" s="19" t="s">
        <v>201</v>
      </c>
      <c r="D19" s="27" t="s">
        <v>224</v>
      </c>
      <c r="E19" s="27" t="s">
        <v>225</v>
      </c>
      <c r="F19" s="28" t="s">
        <v>226</v>
      </c>
      <c r="G19" s="28" t="s">
        <v>7</v>
      </c>
      <c r="H19" s="29"/>
      <c r="I19" s="28"/>
      <c r="J19" s="3"/>
      <c r="K19" s="3"/>
      <c r="L19" s="3"/>
      <c r="M19" s="3"/>
      <c r="N19" s="3"/>
      <c r="O19" s="3"/>
      <c r="P19" s="3"/>
      <c r="Q19" s="3"/>
      <c r="R19" s="3"/>
      <c r="S19" s="3"/>
      <c r="T19" s="3"/>
      <c r="U19" s="3"/>
      <c r="V19" s="3"/>
      <c r="W19" s="3"/>
      <c r="X19" s="3"/>
      <c r="Y19" s="3"/>
      <c r="Z19" s="3"/>
      <c r="AA19" s="3"/>
      <c r="AB19" s="3"/>
    </row>
    <row r="20">
      <c r="A20" s="26" t="s">
        <v>227</v>
      </c>
      <c r="B20" s="27" t="s">
        <v>228</v>
      </c>
      <c r="C20" s="19" t="s">
        <v>201</v>
      </c>
      <c r="D20" s="27" t="s">
        <v>229</v>
      </c>
      <c r="E20" s="27" t="s">
        <v>225</v>
      </c>
      <c r="F20" s="28" t="s">
        <v>230</v>
      </c>
      <c r="G20" s="28" t="s">
        <v>8</v>
      </c>
      <c r="H20" s="28">
        <v>1.0</v>
      </c>
      <c r="I20" s="28" t="s">
        <v>231</v>
      </c>
      <c r="J20" s="3"/>
      <c r="K20" s="3"/>
      <c r="L20" s="3"/>
      <c r="M20" s="3"/>
      <c r="N20" s="3"/>
      <c r="O20" s="3"/>
      <c r="P20" s="3"/>
      <c r="Q20" s="3"/>
      <c r="R20" s="3"/>
      <c r="S20" s="3"/>
      <c r="T20" s="3"/>
      <c r="U20" s="3"/>
      <c r="V20" s="3"/>
      <c r="W20" s="3"/>
      <c r="X20" s="3"/>
      <c r="Y20" s="3"/>
      <c r="Z20" s="3"/>
      <c r="AA20" s="3"/>
      <c r="AB20" s="3"/>
    </row>
    <row r="21">
      <c r="A21" s="26" t="s">
        <v>232</v>
      </c>
      <c r="B21" s="27" t="s">
        <v>233</v>
      </c>
      <c r="C21" s="19" t="s">
        <v>195</v>
      </c>
      <c r="D21" s="27" t="s">
        <v>234</v>
      </c>
      <c r="E21" s="27" t="s">
        <v>235</v>
      </c>
      <c r="F21" s="21" t="s">
        <v>236</v>
      </c>
      <c r="G21" s="28" t="s">
        <v>8</v>
      </c>
      <c r="H21" s="28">
        <v>1.0</v>
      </c>
      <c r="I21" s="28" t="s">
        <v>237</v>
      </c>
      <c r="J21" s="3"/>
      <c r="K21" s="3"/>
      <c r="L21" s="3"/>
      <c r="M21" s="3"/>
      <c r="N21" s="3"/>
      <c r="O21" s="3"/>
      <c r="P21" s="3"/>
      <c r="Q21" s="3"/>
      <c r="R21" s="3"/>
      <c r="S21" s="3"/>
      <c r="T21" s="3"/>
      <c r="U21" s="3"/>
      <c r="V21" s="3"/>
      <c r="W21" s="3"/>
      <c r="X21" s="3"/>
      <c r="Y21" s="3"/>
      <c r="Z21" s="3"/>
      <c r="AA21" s="3"/>
      <c r="AB21" s="3"/>
    </row>
    <row r="22">
      <c r="A22" s="26" t="s">
        <v>238</v>
      </c>
      <c r="B22" s="27" t="s">
        <v>239</v>
      </c>
      <c r="C22" s="19" t="s">
        <v>201</v>
      </c>
      <c r="D22" s="27" t="s">
        <v>240</v>
      </c>
      <c r="E22" s="27" t="s">
        <v>241</v>
      </c>
      <c r="F22" s="28" t="s">
        <v>242</v>
      </c>
      <c r="G22" s="28" t="s">
        <v>7</v>
      </c>
      <c r="H22" s="29"/>
      <c r="I22" s="29"/>
      <c r="J22" s="3"/>
      <c r="K22" s="3"/>
      <c r="L22" s="3"/>
      <c r="M22" s="3"/>
      <c r="N22" s="3"/>
      <c r="O22" s="3"/>
      <c r="P22" s="3"/>
      <c r="Q22" s="3"/>
      <c r="R22" s="3"/>
      <c r="S22" s="3"/>
      <c r="T22" s="3"/>
      <c r="U22" s="3"/>
      <c r="V22" s="3"/>
      <c r="W22" s="3"/>
      <c r="X22" s="3"/>
      <c r="Y22" s="3"/>
      <c r="Z22" s="3"/>
      <c r="AA22" s="3"/>
      <c r="AB22" s="3"/>
    </row>
    <row r="23">
      <c r="A23" s="26" t="s">
        <v>243</v>
      </c>
      <c r="B23" s="27" t="s">
        <v>244</v>
      </c>
      <c r="C23" s="19" t="s">
        <v>201</v>
      </c>
      <c r="D23" s="27" t="s">
        <v>245</v>
      </c>
      <c r="E23" s="27" t="s">
        <v>246</v>
      </c>
      <c r="F23" s="21" t="s">
        <v>247</v>
      </c>
      <c r="G23" s="28" t="s">
        <v>8</v>
      </c>
      <c r="H23" s="28">
        <v>1.0</v>
      </c>
      <c r="I23" s="28" t="s">
        <v>248</v>
      </c>
      <c r="J23" s="3"/>
      <c r="K23" s="3"/>
      <c r="L23" s="3"/>
      <c r="M23" s="3"/>
      <c r="N23" s="3"/>
      <c r="O23" s="3"/>
      <c r="P23" s="3"/>
      <c r="Q23" s="3"/>
      <c r="R23" s="3"/>
      <c r="S23" s="3"/>
      <c r="T23" s="3"/>
      <c r="U23" s="3"/>
      <c r="V23" s="3"/>
      <c r="W23" s="3"/>
      <c r="X23" s="3"/>
      <c r="Y23" s="3"/>
      <c r="Z23" s="3"/>
      <c r="AA23" s="3"/>
      <c r="AB23" s="3"/>
    </row>
    <row r="24">
      <c r="A24" s="26" t="s">
        <v>249</v>
      </c>
      <c r="B24" s="27" t="s">
        <v>250</v>
      </c>
      <c r="C24" s="19" t="s">
        <v>201</v>
      </c>
      <c r="D24" s="27" t="s">
        <v>251</v>
      </c>
      <c r="E24" s="27" t="s">
        <v>252</v>
      </c>
      <c r="F24" s="21" t="s">
        <v>253</v>
      </c>
      <c r="G24" s="28" t="s">
        <v>8</v>
      </c>
      <c r="H24" s="28">
        <v>1.0</v>
      </c>
      <c r="I24" s="28" t="s">
        <v>254</v>
      </c>
      <c r="J24" s="3"/>
      <c r="K24" s="3"/>
      <c r="L24" s="3"/>
      <c r="M24" s="3"/>
      <c r="N24" s="3"/>
      <c r="O24" s="3"/>
      <c r="P24" s="3"/>
      <c r="Q24" s="3"/>
      <c r="R24" s="3"/>
      <c r="S24" s="3"/>
      <c r="T24" s="3"/>
      <c r="U24" s="3"/>
      <c r="V24" s="3"/>
      <c r="W24" s="3"/>
      <c r="X24" s="3"/>
      <c r="Y24" s="3"/>
      <c r="Z24" s="3"/>
      <c r="AA24" s="3"/>
      <c r="AB24" s="3"/>
    </row>
    <row r="25">
      <c r="A25" s="26" t="s">
        <v>255</v>
      </c>
      <c r="B25" s="27" t="s">
        <v>256</v>
      </c>
      <c r="C25" s="19" t="s">
        <v>195</v>
      </c>
      <c r="D25" s="27" t="s">
        <v>257</v>
      </c>
      <c r="E25" s="27" t="s">
        <v>258</v>
      </c>
      <c r="F25" s="21" t="s">
        <v>259</v>
      </c>
      <c r="G25" s="28" t="s">
        <v>8</v>
      </c>
      <c r="H25" s="28">
        <v>1.0</v>
      </c>
      <c r="I25" s="28" t="s">
        <v>248</v>
      </c>
      <c r="J25" s="3"/>
      <c r="K25" s="3"/>
      <c r="L25" s="3"/>
      <c r="M25" s="3"/>
      <c r="N25" s="3"/>
      <c r="O25" s="3"/>
      <c r="P25" s="3"/>
      <c r="Q25" s="3"/>
      <c r="R25" s="3"/>
      <c r="S25" s="3"/>
      <c r="T25" s="3"/>
      <c r="U25" s="3"/>
      <c r="V25" s="3"/>
      <c r="W25" s="3"/>
      <c r="X25" s="3"/>
      <c r="Y25" s="3"/>
      <c r="Z25" s="3"/>
      <c r="AA25" s="3"/>
      <c r="AB25" s="3"/>
    </row>
    <row r="26">
      <c r="A26" s="26" t="s">
        <v>260</v>
      </c>
      <c r="B26" s="27" t="s">
        <v>261</v>
      </c>
      <c r="C26" s="19" t="s">
        <v>201</v>
      </c>
      <c r="D26" s="27" t="s">
        <v>262</v>
      </c>
      <c r="E26" s="27" t="s">
        <v>263</v>
      </c>
      <c r="F26" s="21" t="s">
        <v>259</v>
      </c>
      <c r="G26" s="28" t="s">
        <v>8</v>
      </c>
      <c r="H26" s="28">
        <v>1.0</v>
      </c>
      <c r="I26" s="28" t="s">
        <v>248</v>
      </c>
      <c r="J26" s="3"/>
      <c r="K26" s="3"/>
      <c r="L26" s="3"/>
      <c r="M26" s="3"/>
      <c r="N26" s="3"/>
      <c r="O26" s="3"/>
      <c r="P26" s="3"/>
      <c r="Q26" s="3"/>
      <c r="R26" s="3"/>
      <c r="S26" s="3"/>
      <c r="T26" s="3"/>
      <c r="U26" s="3"/>
      <c r="V26" s="3"/>
      <c r="W26" s="3"/>
      <c r="X26" s="3"/>
      <c r="Y26" s="3"/>
      <c r="Z26" s="3"/>
      <c r="AA26" s="3"/>
      <c r="AB26" s="3"/>
    </row>
    <row r="27">
      <c r="A27" s="26" t="s">
        <v>264</v>
      </c>
      <c r="B27" s="27" t="s">
        <v>265</v>
      </c>
      <c r="C27" s="19" t="s">
        <v>201</v>
      </c>
      <c r="D27" s="27" t="s">
        <v>266</v>
      </c>
      <c r="E27" s="27" t="s">
        <v>267</v>
      </c>
      <c r="F27" s="21" t="s">
        <v>268</v>
      </c>
      <c r="G27" s="28" t="s">
        <v>8</v>
      </c>
      <c r="H27" s="28">
        <v>1.0</v>
      </c>
      <c r="I27" s="28" t="s">
        <v>248</v>
      </c>
      <c r="J27" s="3"/>
      <c r="K27" s="3"/>
      <c r="L27" s="3"/>
      <c r="M27" s="3"/>
      <c r="N27" s="3"/>
      <c r="O27" s="3"/>
      <c r="P27" s="3"/>
      <c r="Q27" s="3"/>
      <c r="R27" s="3"/>
      <c r="S27" s="3"/>
      <c r="T27" s="3"/>
      <c r="U27" s="3"/>
      <c r="V27" s="3"/>
      <c r="W27" s="3"/>
      <c r="X27" s="3"/>
      <c r="Y27" s="3"/>
      <c r="Z27" s="3"/>
      <c r="AA27" s="3"/>
      <c r="AB27" s="3"/>
    </row>
    <row r="28">
      <c r="A28" s="26" t="s">
        <v>269</v>
      </c>
      <c r="B28" s="27" t="s">
        <v>270</v>
      </c>
      <c r="C28" s="19" t="s">
        <v>201</v>
      </c>
      <c r="D28" s="27" t="s">
        <v>271</v>
      </c>
      <c r="E28" s="27" t="s">
        <v>272</v>
      </c>
      <c r="F28" s="21" t="s">
        <v>268</v>
      </c>
      <c r="G28" s="28" t="s">
        <v>8</v>
      </c>
      <c r="H28" s="28">
        <v>1.0</v>
      </c>
      <c r="I28" s="28" t="s">
        <v>221</v>
      </c>
      <c r="J28" s="3"/>
      <c r="K28" s="3"/>
      <c r="L28" s="3"/>
      <c r="M28" s="3"/>
      <c r="N28" s="3"/>
      <c r="O28" s="3"/>
      <c r="P28" s="3"/>
      <c r="Q28" s="3"/>
      <c r="R28" s="3"/>
      <c r="S28" s="3"/>
      <c r="T28" s="3"/>
      <c r="U28" s="3"/>
      <c r="V28" s="3"/>
      <c r="W28" s="3"/>
      <c r="X28" s="3"/>
      <c r="Y28" s="3"/>
      <c r="Z28" s="3"/>
      <c r="AA28" s="3"/>
      <c r="AB28" s="3"/>
    </row>
    <row r="29">
      <c r="A29" s="26" t="s">
        <v>273</v>
      </c>
      <c r="B29" s="27" t="s">
        <v>274</v>
      </c>
      <c r="C29" s="19" t="s">
        <v>201</v>
      </c>
      <c r="D29" s="27" t="s">
        <v>275</v>
      </c>
      <c r="E29" s="27" t="s">
        <v>276</v>
      </c>
      <c r="F29" s="21" t="s">
        <v>277</v>
      </c>
      <c r="G29" s="28" t="s">
        <v>7</v>
      </c>
      <c r="H29" s="29"/>
      <c r="I29" s="29"/>
      <c r="J29" s="3"/>
      <c r="K29" s="3"/>
      <c r="L29" s="3"/>
      <c r="M29" s="3"/>
      <c r="N29" s="3"/>
      <c r="O29" s="3"/>
      <c r="P29" s="3"/>
      <c r="Q29" s="3"/>
      <c r="R29" s="3"/>
      <c r="S29" s="3"/>
      <c r="T29" s="3"/>
      <c r="U29" s="3"/>
      <c r="V29" s="3"/>
      <c r="W29" s="3"/>
      <c r="X29" s="3"/>
      <c r="Y29" s="3"/>
      <c r="Z29" s="3"/>
      <c r="AA29" s="3"/>
      <c r="AB29" s="3"/>
    </row>
  </sheetData>
  <mergeCells count="8">
    <mergeCell ref="B1:I1"/>
    <mergeCell ref="B2:I2"/>
    <mergeCell ref="B3:I3"/>
    <mergeCell ref="C4:E4"/>
    <mergeCell ref="F4:I4"/>
    <mergeCell ref="C5:E10"/>
    <mergeCell ref="F5:I10"/>
    <mergeCell ref="B13:I13"/>
  </mergeCells>
  <dataValidations>
    <dataValidation type="list" allowBlank="1" showErrorMessage="1" sqref="C14:C29">
      <formula1>"Positive,Negative,UI/UX"</formula1>
    </dataValidation>
    <dataValidation type="list" allowBlank="1" showErrorMessage="1" sqref="G14:G29">
      <formula1>'REG-ST'!$A$6:$A$8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24.88"/>
    <col customWidth="1" min="3" max="3" width="10.25"/>
    <col customWidth="1" min="4" max="4" width="33.13"/>
    <col customWidth="1" min="5" max="5" width="39.88"/>
    <col customWidth="1" min="6" max="6" width="17.5"/>
    <col customWidth="1" min="7" max="7" width="16.13"/>
    <col customWidth="1" min="8" max="8" width="8.13"/>
    <col customWidth="1" min="9" max="9" width="44.25"/>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179</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181</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COUNTA(D13:D29)</f>
        <v>16</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COUNTIFS(D13:D29, "&lt;&gt;", G13:G29, "&lt;&gt;")</f>
        <v>16</v>
      </c>
      <c r="C5" s="11" t="s">
        <v>278</v>
      </c>
      <c r="D5" s="12"/>
      <c r="E5" s="13"/>
      <c r="F5" s="11" t="s">
        <v>279</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COUNTIF($G$13:$G29,A7)</f>
        <v>5</v>
      </c>
      <c r="C7" s="14"/>
      <c r="E7" s="15"/>
      <c r="F7" s="14"/>
      <c r="I7" s="15"/>
      <c r="J7" s="3"/>
      <c r="K7" s="3"/>
      <c r="L7" s="3"/>
      <c r="M7" s="3"/>
      <c r="N7" s="3"/>
      <c r="O7" s="3"/>
      <c r="P7" s="3"/>
      <c r="Q7" s="3"/>
      <c r="R7" s="3"/>
      <c r="S7" s="3"/>
      <c r="T7" s="3"/>
      <c r="U7" s="3"/>
      <c r="V7" s="3"/>
      <c r="W7" s="3"/>
      <c r="X7" s="3"/>
      <c r="Y7" s="3"/>
      <c r="Z7" s="3"/>
      <c r="AA7" s="3"/>
      <c r="AB7" s="3"/>
    </row>
    <row r="8">
      <c r="A8" s="6" t="s">
        <v>8</v>
      </c>
      <c r="B8" s="7">
        <f t="shared" si="1"/>
        <v>11</v>
      </c>
      <c r="C8" s="14"/>
      <c r="E8" s="15"/>
      <c r="F8" s="14"/>
      <c r="I8" s="15"/>
      <c r="J8" s="3"/>
      <c r="K8" s="3"/>
      <c r="L8" s="3"/>
      <c r="M8" s="3"/>
      <c r="N8" s="3"/>
      <c r="O8" s="3"/>
      <c r="P8" s="3"/>
      <c r="Q8" s="3"/>
      <c r="R8" s="3"/>
      <c r="S8" s="3"/>
      <c r="T8" s="3"/>
      <c r="U8" s="3"/>
      <c r="V8" s="3"/>
      <c r="W8" s="3"/>
      <c r="X8" s="3"/>
      <c r="Y8" s="3"/>
      <c r="Z8" s="3"/>
      <c r="AA8" s="3"/>
      <c r="AB8" s="3"/>
    </row>
    <row r="9">
      <c r="A9" s="6" t="s">
        <v>184</v>
      </c>
      <c r="B9" s="23">
        <f>IFERROR(B7/B4,0)</f>
        <v>0.3125</v>
      </c>
      <c r="C9" s="14"/>
      <c r="E9" s="15"/>
      <c r="F9" s="14"/>
      <c r="I9" s="15"/>
      <c r="J9" s="3"/>
      <c r="K9" s="3"/>
      <c r="L9" s="3"/>
      <c r="M9" s="3"/>
      <c r="N9" s="3"/>
      <c r="O9" s="3"/>
      <c r="P9" s="3"/>
      <c r="Q9" s="3"/>
      <c r="R9" s="3"/>
      <c r="S9" s="3"/>
      <c r="T9" s="3"/>
      <c r="U9" s="3"/>
      <c r="V9" s="3"/>
      <c r="W9" s="3"/>
      <c r="X9" s="3"/>
      <c r="Y9" s="3"/>
      <c r="Z9" s="3"/>
      <c r="AA9" s="3"/>
      <c r="AB9" s="3"/>
    </row>
    <row r="10" ht="252.75" customHeight="1">
      <c r="A10" s="6" t="s">
        <v>9</v>
      </c>
      <c r="B10" s="7">
        <f>SUM(H13:H29)</f>
        <v>11</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24" t="s">
        <v>12</v>
      </c>
      <c r="B12" s="24" t="s">
        <v>14</v>
      </c>
      <c r="C12" s="24" t="s">
        <v>185</v>
      </c>
      <c r="D12" s="24" t="s">
        <v>186</v>
      </c>
      <c r="E12" s="24" t="s">
        <v>187</v>
      </c>
      <c r="F12" s="24" t="s">
        <v>188</v>
      </c>
      <c r="G12" s="24" t="s">
        <v>189</v>
      </c>
      <c r="H12" s="24" t="s">
        <v>190</v>
      </c>
      <c r="I12" s="24" t="s">
        <v>191</v>
      </c>
      <c r="J12" s="3"/>
      <c r="K12" s="3"/>
      <c r="L12" s="3"/>
      <c r="M12" s="3"/>
      <c r="N12" s="3"/>
      <c r="O12" s="3"/>
      <c r="P12" s="3"/>
      <c r="Q12" s="3"/>
      <c r="R12" s="3"/>
      <c r="S12" s="3"/>
      <c r="T12" s="3"/>
      <c r="U12" s="3"/>
      <c r="V12" s="3"/>
      <c r="W12" s="3"/>
      <c r="X12" s="3"/>
      <c r="Y12" s="3"/>
      <c r="Z12" s="3"/>
      <c r="AA12" s="3"/>
      <c r="AB12" s="3"/>
    </row>
    <row r="13">
      <c r="A13" s="25" t="s">
        <v>66</v>
      </c>
      <c r="B13" s="25" t="s">
        <v>280</v>
      </c>
      <c r="J13" s="3"/>
      <c r="K13" s="3"/>
      <c r="L13" s="3"/>
      <c r="M13" s="3"/>
      <c r="N13" s="3"/>
      <c r="O13" s="3"/>
      <c r="P13" s="3"/>
      <c r="Q13" s="3"/>
      <c r="R13" s="3"/>
      <c r="S13" s="3"/>
      <c r="T13" s="3"/>
      <c r="U13" s="3"/>
      <c r="V13" s="3"/>
      <c r="W13" s="3"/>
      <c r="X13" s="3"/>
      <c r="Y13" s="3"/>
      <c r="Z13" s="3"/>
      <c r="AA13" s="3"/>
      <c r="AB13" s="3"/>
    </row>
    <row r="14">
      <c r="A14" s="30" t="s">
        <v>281</v>
      </c>
      <c r="B14" s="31" t="s">
        <v>282</v>
      </c>
      <c r="C14" s="19" t="s">
        <v>195</v>
      </c>
      <c r="D14" s="31" t="s">
        <v>283</v>
      </c>
      <c r="E14" s="31" t="s">
        <v>284</v>
      </c>
      <c r="F14" s="32" t="s">
        <v>285</v>
      </c>
      <c r="G14" s="32" t="s">
        <v>7</v>
      </c>
      <c r="H14" s="33"/>
      <c r="I14" s="33"/>
      <c r="J14" s="3"/>
      <c r="K14" s="3"/>
      <c r="L14" s="3"/>
      <c r="M14" s="3"/>
      <c r="N14" s="3"/>
      <c r="O14" s="3"/>
      <c r="P14" s="3"/>
      <c r="Q14" s="3"/>
      <c r="R14" s="3"/>
      <c r="S14" s="3"/>
      <c r="T14" s="3"/>
      <c r="U14" s="3"/>
      <c r="V14" s="3"/>
      <c r="W14" s="3"/>
      <c r="X14" s="3"/>
      <c r="Y14" s="3"/>
      <c r="Z14" s="3"/>
      <c r="AA14" s="3"/>
      <c r="AB14" s="3"/>
    </row>
    <row r="15">
      <c r="A15" s="30" t="s">
        <v>286</v>
      </c>
      <c r="B15" s="31" t="s">
        <v>287</v>
      </c>
      <c r="C15" s="19" t="s">
        <v>201</v>
      </c>
      <c r="D15" s="31" t="s">
        <v>288</v>
      </c>
      <c r="E15" s="31" t="s">
        <v>289</v>
      </c>
      <c r="F15" s="21" t="s">
        <v>290</v>
      </c>
      <c r="G15" s="32" t="s">
        <v>7</v>
      </c>
      <c r="H15" s="33"/>
      <c r="I15" s="33"/>
      <c r="J15" s="3"/>
      <c r="K15" s="3"/>
      <c r="L15" s="3"/>
      <c r="M15" s="3"/>
      <c r="N15" s="3"/>
      <c r="O15" s="3"/>
      <c r="P15" s="3"/>
      <c r="Q15" s="3"/>
      <c r="R15" s="3"/>
      <c r="S15" s="3"/>
      <c r="T15" s="3"/>
      <c r="U15" s="3"/>
      <c r="V15" s="3"/>
      <c r="W15" s="3"/>
      <c r="X15" s="3"/>
      <c r="Y15" s="3"/>
      <c r="Z15" s="3"/>
      <c r="AA15" s="3"/>
      <c r="AB15" s="3"/>
    </row>
    <row r="16">
      <c r="A16" s="30" t="s">
        <v>291</v>
      </c>
      <c r="B16" s="31" t="s">
        <v>292</v>
      </c>
      <c r="C16" s="19" t="s">
        <v>201</v>
      </c>
      <c r="D16" s="31" t="s">
        <v>293</v>
      </c>
      <c r="E16" s="31" t="s">
        <v>294</v>
      </c>
      <c r="F16" s="32" t="s">
        <v>295</v>
      </c>
      <c r="G16" s="32" t="s">
        <v>8</v>
      </c>
      <c r="H16" s="32">
        <v>1.0</v>
      </c>
      <c r="I16" s="32" t="s">
        <v>296</v>
      </c>
      <c r="J16" s="3"/>
      <c r="K16" s="3"/>
      <c r="L16" s="3"/>
      <c r="M16" s="3"/>
      <c r="N16" s="3"/>
      <c r="O16" s="3"/>
      <c r="P16" s="3"/>
      <c r="Q16" s="3"/>
      <c r="R16" s="3"/>
      <c r="S16" s="3"/>
      <c r="T16" s="3"/>
      <c r="U16" s="3"/>
      <c r="V16" s="3"/>
      <c r="W16" s="3"/>
      <c r="X16" s="3"/>
      <c r="Y16" s="3"/>
      <c r="Z16" s="3"/>
      <c r="AA16" s="3"/>
      <c r="AB16" s="3"/>
    </row>
    <row r="17">
      <c r="A17" s="30" t="s">
        <v>297</v>
      </c>
      <c r="B17" s="31" t="s">
        <v>298</v>
      </c>
      <c r="C17" s="19" t="s">
        <v>201</v>
      </c>
      <c r="D17" s="31" t="s">
        <v>299</v>
      </c>
      <c r="E17" s="31" t="s">
        <v>300</v>
      </c>
      <c r="F17" s="32" t="s">
        <v>301</v>
      </c>
      <c r="G17" s="32" t="s">
        <v>8</v>
      </c>
      <c r="H17" s="32">
        <v>1.0</v>
      </c>
      <c r="I17" s="32" t="s">
        <v>302</v>
      </c>
      <c r="J17" s="3"/>
      <c r="K17" s="3"/>
      <c r="L17" s="3"/>
      <c r="M17" s="3"/>
      <c r="N17" s="3"/>
      <c r="O17" s="3"/>
      <c r="P17" s="3"/>
      <c r="Q17" s="3"/>
      <c r="R17" s="3"/>
      <c r="S17" s="3"/>
      <c r="T17" s="3"/>
      <c r="U17" s="3"/>
      <c r="V17" s="3"/>
      <c r="W17" s="3"/>
      <c r="X17" s="3"/>
      <c r="Y17" s="3"/>
      <c r="Z17" s="3"/>
      <c r="AA17" s="3"/>
      <c r="AB17" s="3"/>
    </row>
    <row r="18">
      <c r="A18" s="30" t="s">
        <v>303</v>
      </c>
      <c r="B18" s="31" t="s">
        <v>304</v>
      </c>
      <c r="C18" s="19" t="s">
        <v>201</v>
      </c>
      <c r="D18" s="31" t="s">
        <v>305</v>
      </c>
      <c r="E18" s="31" t="s">
        <v>306</v>
      </c>
      <c r="F18" s="32" t="s">
        <v>307</v>
      </c>
      <c r="G18" s="32" t="s">
        <v>8</v>
      </c>
      <c r="H18" s="32">
        <v>1.0</v>
      </c>
      <c r="I18" s="32" t="s">
        <v>308</v>
      </c>
      <c r="J18" s="3"/>
      <c r="K18" s="3"/>
      <c r="L18" s="3"/>
      <c r="M18" s="3"/>
      <c r="N18" s="3"/>
      <c r="O18" s="3"/>
      <c r="P18" s="3"/>
      <c r="Q18" s="3"/>
      <c r="R18" s="3"/>
      <c r="S18" s="3"/>
      <c r="T18" s="3"/>
      <c r="U18" s="3"/>
      <c r="V18" s="3"/>
      <c r="W18" s="3"/>
      <c r="X18" s="3"/>
      <c r="Y18" s="3"/>
      <c r="Z18" s="3"/>
      <c r="AA18" s="3"/>
      <c r="AB18" s="3"/>
    </row>
    <row r="19">
      <c r="A19" s="30" t="s">
        <v>309</v>
      </c>
      <c r="B19" s="31" t="s">
        <v>310</v>
      </c>
      <c r="C19" s="19" t="s">
        <v>201</v>
      </c>
      <c r="D19" s="31" t="s">
        <v>311</v>
      </c>
      <c r="E19" s="31" t="s">
        <v>312</v>
      </c>
      <c r="F19" s="32" t="s">
        <v>313</v>
      </c>
      <c r="G19" s="32" t="s">
        <v>8</v>
      </c>
      <c r="H19" s="32">
        <v>1.0</v>
      </c>
      <c r="I19" s="32" t="s">
        <v>314</v>
      </c>
      <c r="J19" s="3"/>
      <c r="K19" s="3"/>
      <c r="L19" s="3"/>
      <c r="M19" s="3"/>
      <c r="N19" s="3"/>
      <c r="O19" s="3"/>
      <c r="P19" s="3"/>
      <c r="Q19" s="3"/>
      <c r="R19" s="3"/>
      <c r="S19" s="3"/>
      <c r="T19" s="3"/>
      <c r="U19" s="3"/>
      <c r="V19" s="3"/>
      <c r="W19" s="3"/>
      <c r="X19" s="3"/>
      <c r="Y19" s="3"/>
      <c r="Z19" s="3"/>
      <c r="AA19" s="3"/>
      <c r="AB19" s="3"/>
    </row>
    <row r="20">
      <c r="A20" s="30" t="s">
        <v>315</v>
      </c>
      <c r="B20" s="31" t="s">
        <v>316</v>
      </c>
      <c r="C20" s="19" t="s">
        <v>201</v>
      </c>
      <c r="D20" s="31" t="s">
        <v>317</v>
      </c>
      <c r="E20" s="31" t="s">
        <v>318</v>
      </c>
      <c r="F20" s="32" t="s">
        <v>319</v>
      </c>
      <c r="G20" s="32" t="s">
        <v>8</v>
      </c>
      <c r="H20" s="32">
        <v>1.0</v>
      </c>
      <c r="I20" s="32" t="s">
        <v>296</v>
      </c>
      <c r="J20" s="3"/>
      <c r="K20" s="3"/>
      <c r="L20" s="3"/>
      <c r="M20" s="3"/>
      <c r="N20" s="3"/>
      <c r="O20" s="3"/>
      <c r="P20" s="3"/>
      <c r="Q20" s="3"/>
      <c r="R20" s="3"/>
      <c r="S20" s="3"/>
      <c r="T20" s="3"/>
      <c r="U20" s="3"/>
      <c r="V20" s="3"/>
      <c r="W20" s="3"/>
      <c r="X20" s="3"/>
      <c r="Y20" s="3"/>
      <c r="Z20" s="3"/>
      <c r="AA20" s="3"/>
      <c r="AB20" s="3"/>
    </row>
    <row r="21">
      <c r="A21" s="30" t="s">
        <v>320</v>
      </c>
      <c r="B21" s="31" t="s">
        <v>321</v>
      </c>
      <c r="C21" s="19" t="s">
        <v>201</v>
      </c>
      <c r="D21" s="31" t="s">
        <v>322</v>
      </c>
      <c r="E21" s="31" t="s">
        <v>323</v>
      </c>
      <c r="F21" s="32" t="s">
        <v>324</v>
      </c>
      <c r="G21" s="32" t="s">
        <v>8</v>
      </c>
      <c r="H21" s="32">
        <v>1.0</v>
      </c>
      <c r="I21" s="32" t="s">
        <v>325</v>
      </c>
      <c r="J21" s="3"/>
      <c r="K21" s="3"/>
      <c r="L21" s="3"/>
      <c r="M21" s="3"/>
      <c r="N21" s="3"/>
      <c r="O21" s="3"/>
      <c r="P21" s="3"/>
      <c r="Q21" s="3"/>
      <c r="R21" s="3"/>
      <c r="S21" s="3"/>
      <c r="T21" s="3"/>
      <c r="U21" s="3"/>
      <c r="V21" s="3"/>
      <c r="W21" s="3"/>
      <c r="X21" s="3"/>
      <c r="Y21" s="3"/>
      <c r="Z21" s="3"/>
      <c r="AA21" s="3"/>
      <c r="AB21" s="3"/>
    </row>
    <row r="22">
      <c r="A22" s="30" t="s">
        <v>326</v>
      </c>
      <c r="B22" s="31" t="s">
        <v>327</v>
      </c>
      <c r="C22" s="19" t="s">
        <v>201</v>
      </c>
      <c r="D22" s="31" t="s">
        <v>328</v>
      </c>
      <c r="E22" s="31" t="s">
        <v>323</v>
      </c>
      <c r="F22" s="32" t="s">
        <v>324</v>
      </c>
      <c r="G22" s="32" t="s">
        <v>8</v>
      </c>
      <c r="H22" s="32">
        <v>1.0</v>
      </c>
      <c r="I22" s="28" t="s">
        <v>329</v>
      </c>
      <c r="J22" s="3"/>
      <c r="K22" s="3"/>
      <c r="L22" s="3"/>
      <c r="M22" s="3"/>
      <c r="N22" s="3"/>
      <c r="O22" s="3"/>
      <c r="P22" s="3"/>
      <c r="Q22" s="3"/>
      <c r="R22" s="3"/>
      <c r="S22" s="3"/>
      <c r="T22" s="3"/>
      <c r="U22" s="3"/>
      <c r="V22" s="3"/>
      <c r="W22" s="3"/>
      <c r="X22" s="3"/>
      <c r="Y22" s="3"/>
      <c r="Z22" s="3"/>
      <c r="AA22" s="3"/>
      <c r="AB22" s="3"/>
    </row>
    <row r="23">
      <c r="A23" s="30" t="s">
        <v>330</v>
      </c>
      <c r="B23" s="31" t="s">
        <v>331</v>
      </c>
      <c r="C23" s="19" t="s">
        <v>201</v>
      </c>
      <c r="D23" s="31" t="s">
        <v>332</v>
      </c>
      <c r="E23" s="31" t="s">
        <v>333</v>
      </c>
      <c r="F23" s="32" t="s">
        <v>334</v>
      </c>
      <c r="G23" s="32" t="s">
        <v>7</v>
      </c>
      <c r="H23" s="33"/>
      <c r="I23" s="33"/>
      <c r="J23" s="3"/>
      <c r="K23" s="3"/>
      <c r="L23" s="3"/>
      <c r="M23" s="3"/>
      <c r="N23" s="3"/>
      <c r="O23" s="3"/>
      <c r="P23" s="3"/>
      <c r="Q23" s="3"/>
      <c r="R23" s="3"/>
      <c r="S23" s="3"/>
      <c r="T23" s="3"/>
      <c r="U23" s="3"/>
      <c r="V23" s="3"/>
      <c r="W23" s="3"/>
      <c r="X23" s="3"/>
      <c r="Y23" s="3"/>
      <c r="Z23" s="3"/>
      <c r="AA23" s="3"/>
      <c r="AB23" s="3"/>
    </row>
    <row r="24">
      <c r="A24" s="30" t="s">
        <v>335</v>
      </c>
      <c r="B24" s="31" t="s">
        <v>336</v>
      </c>
      <c r="C24" s="19" t="s">
        <v>201</v>
      </c>
      <c r="D24" s="31" t="s">
        <v>337</v>
      </c>
      <c r="E24" s="31" t="s">
        <v>338</v>
      </c>
      <c r="F24" s="21" t="s">
        <v>339</v>
      </c>
      <c r="G24" s="32" t="s">
        <v>8</v>
      </c>
      <c r="H24" s="32">
        <v>1.0</v>
      </c>
      <c r="I24" s="32" t="s">
        <v>340</v>
      </c>
      <c r="J24" s="3"/>
      <c r="K24" s="3"/>
      <c r="L24" s="3"/>
      <c r="M24" s="3"/>
      <c r="N24" s="3"/>
      <c r="O24" s="3"/>
      <c r="P24" s="3"/>
      <c r="Q24" s="3"/>
      <c r="R24" s="3"/>
      <c r="S24" s="3"/>
      <c r="T24" s="3"/>
      <c r="U24" s="3"/>
      <c r="V24" s="3"/>
      <c r="W24" s="3"/>
      <c r="X24" s="3"/>
      <c r="Y24" s="3"/>
      <c r="Z24" s="3"/>
      <c r="AA24" s="3"/>
      <c r="AB24" s="3"/>
    </row>
    <row r="25">
      <c r="A25" s="30" t="s">
        <v>341</v>
      </c>
      <c r="B25" s="31" t="s">
        <v>342</v>
      </c>
      <c r="C25" s="19" t="s">
        <v>201</v>
      </c>
      <c r="D25" s="31" t="s">
        <v>343</v>
      </c>
      <c r="E25" s="31" t="s">
        <v>344</v>
      </c>
      <c r="F25" s="21" t="s">
        <v>339</v>
      </c>
      <c r="G25" s="32" t="s">
        <v>8</v>
      </c>
      <c r="H25" s="32">
        <v>1.0</v>
      </c>
      <c r="I25" s="32" t="s">
        <v>345</v>
      </c>
      <c r="J25" s="3"/>
      <c r="K25" s="3"/>
      <c r="L25" s="3"/>
      <c r="M25" s="3"/>
      <c r="N25" s="3"/>
      <c r="O25" s="3"/>
      <c r="P25" s="3"/>
      <c r="Q25" s="3"/>
      <c r="R25" s="3"/>
      <c r="S25" s="3"/>
      <c r="T25" s="3"/>
      <c r="U25" s="3"/>
      <c r="V25" s="3"/>
      <c r="W25" s="3"/>
      <c r="X25" s="3"/>
      <c r="Y25" s="3"/>
      <c r="Z25" s="3"/>
      <c r="AA25" s="3"/>
      <c r="AB25" s="3"/>
    </row>
    <row r="26">
      <c r="A26" s="30" t="s">
        <v>346</v>
      </c>
      <c r="B26" s="31" t="s">
        <v>347</v>
      </c>
      <c r="C26" s="19" t="s">
        <v>195</v>
      </c>
      <c r="D26" s="31" t="s">
        <v>348</v>
      </c>
      <c r="E26" s="31" t="s">
        <v>349</v>
      </c>
      <c r="F26" s="32" t="s">
        <v>350</v>
      </c>
      <c r="G26" s="32" t="s">
        <v>8</v>
      </c>
      <c r="H26" s="32">
        <v>1.0</v>
      </c>
      <c r="I26" s="32" t="s">
        <v>351</v>
      </c>
      <c r="J26" s="3"/>
      <c r="K26" s="3"/>
      <c r="L26" s="3"/>
      <c r="M26" s="3"/>
      <c r="N26" s="3"/>
      <c r="O26" s="3"/>
      <c r="P26" s="3"/>
      <c r="Q26" s="3"/>
      <c r="R26" s="3"/>
      <c r="S26" s="3"/>
      <c r="T26" s="3"/>
      <c r="U26" s="3"/>
      <c r="V26" s="3"/>
      <c r="W26" s="3"/>
      <c r="X26" s="3"/>
      <c r="Y26" s="3"/>
      <c r="Z26" s="3"/>
      <c r="AA26" s="3"/>
      <c r="AB26" s="3"/>
    </row>
    <row r="27">
      <c r="A27" s="30" t="s">
        <v>352</v>
      </c>
      <c r="B27" s="31" t="s">
        <v>353</v>
      </c>
      <c r="C27" s="19" t="s">
        <v>201</v>
      </c>
      <c r="D27" s="31" t="s">
        <v>354</v>
      </c>
      <c r="E27" s="31" t="s">
        <v>355</v>
      </c>
      <c r="F27" s="32" t="s">
        <v>350</v>
      </c>
      <c r="G27" s="32" t="s">
        <v>8</v>
      </c>
      <c r="H27" s="32">
        <v>1.0</v>
      </c>
      <c r="I27" s="32" t="s">
        <v>345</v>
      </c>
      <c r="J27" s="3"/>
      <c r="K27" s="3"/>
      <c r="L27" s="3"/>
      <c r="M27" s="3"/>
      <c r="N27" s="3"/>
      <c r="O27" s="3"/>
      <c r="P27" s="3"/>
      <c r="Q27" s="3"/>
      <c r="R27" s="3"/>
      <c r="S27" s="3"/>
      <c r="T27" s="3"/>
      <c r="U27" s="3"/>
      <c r="V27" s="3"/>
      <c r="W27" s="3"/>
      <c r="X27" s="3"/>
      <c r="Y27" s="3"/>
      <c r="Z27" s="3"/>
      <c r="AA27" s="3"/>
      <c r="AB27" s="3"/>
    </row>
    <row r="28">
      <c r="A28" s="30" t="s">
        <v>356</v>
      </c>
      <c r="B28" s="31" t="s">
        <v>357</v>
      </c>
      <c r="C28" s="19" t="s">
        <v>201</v>
      </c>
      <c r="D28" s="31" t="s">
        <v>358</v>
      </c>
      <c r="E28" s="31" t="s">
        <v>359</v>
      </c>
      <c r="F28" s="32" t="s">
        <v>360</v>
      </c>
      <c r="G28" s="34" t="s">
        <v>7</v>
      </c>
      <c r="H28" s="33"/>
      <c r="I28" s="32"/>
      <c r="J28" s="3"/>
      <c r="K28" s="3"/>
      <c r="L28" s="3"/>
      <c r="M28" s="3"/>
      <c r="N28" s="3"/>
      <c r="O28" s="3"/>
      <c r="P28" s="3"/>
      <c r="Q28" s="3"/>
      <c r="R28" s="3"/>
      <c r="S28" s="3"/>
      <c r="T28" s="3"/>
      <c r="U28" s="3"/>
      <c r="V28" s="3"/>
      <c r="W28" s="3"/>
      <c r="X28" s="3"/>
      <c r="Y28" s="3"/>
      <c r="Z28" s="3"/>
      <c r="AA28" s="3"/>
      <c r="AB28" s="3"/>
    </row>
    <row r="29">
      <c r="A29" s="30" t="s">
        <v>361</v>
      </c>
      <c r="B29" s="35" t="s">
        <v>362</v>
      </c>
      <c r="C29" s="19" t="s">
        <v>201</v>
      </c>
      <c r="D29" s="35" t="s">
        <v>363</v>
      </c>
      <c r="E29" s="35" t="s">
        <v>364</v>
      </c>
      <c r="F29" s="32" t="s">
        <v>365</v>
      </c>
      <c r="G29" s="36" t="s">
        <v>7</v>
      </c>
      <c r="H29" s="37"/>
      <c r="I29" s="37"/>
      <c r="J29" s="3"/>
      <c r="K29" s="3"/>
      <c r="L29" s="3"/>
      <c r="M29" s="3"/>
      <c r="N29" s="3"/>
      <c r="O29" s="3"/>
      <c r="P29" s="3"/>
      <c r="Q29" s="3"/>
      <c r="R29" s="3"/>
      <c r="S29" s="3"/>
      <c r="T29" s="3"/>
      <c r="U29" s="3"/>
      <c r="V29" s="3"/>
      <c r="W29" s="3"/>
      <c r="X29" s="3"/>
      <c r="Y29" s="3"/>
      <c r="Z29" s="3"/>
      <c r="AA29" s="3"/>
      <c r="AB29" s="3"/>
    </row>
  </sheetData>
  <mergeCells count="8">
    <mergeCell ref="B1:I1"/>
    <mergeCell ref="B2:I2"/>
    <mergeCell ref="B3:I3"/>
    <mergeCell ref="C4:E4"/>
    <mergeCell ref="F4:I4"/>
    <mergeCell ref="C5:E10"/>
    <mergeCell ref="F5:I10"/>
    <mergeCell ref="B13:I13"/>
  </mergeCells>
  <dataValidations>
    <dataValidation type="list" allowBlank="1" showErrorMessage="1" sqref="G14:G29">
      <formula1>'LOG-ST'!$A$6:$A$8</formula1>
    </dataValidation>
    <dataValidation type="list" allowBlank="1" showErrorMessage="1" sqref="C14:C29">
      <formula1>"Positive,Negative,UI/UX"</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14.75"/>
    <col customWidth="1" min="3" max="3" width="10.25"/>
    <col customWidth="1" min="4" max="4" width="53.75"/>
    <col customWidth="1" min="5" max="5" width="22.25"/>
    <col customWidth="1" min="6" max="6" width="17.5"/>
    <col customWidth="1" min="7" max="7" width="16.13"/>
    <col customWidth="1" min="8" max="8" width="8.13"/>
    <col customWidth="1" min="9" max="9" width="47.75"/>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179</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181</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COUNTA(D13:D23)</f>
        <v>10</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COUNTIFS(D13:D23, "&lt;&gt;", G13:G23, "&lt;&gt;")</f>
        <v>10</v>
      </c>
      <c r="C5" s="11" t="s">
        <v>366</v>
      </c>
      <c r="D5" s="12"/>
      <c r="E5" s="13"/>
      <c r="F5" s="11" t="s">
        <v>367</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COUNTIF($G$13:$G23,A7)</f>
        <v>2</v>
      </c>
      <c r="C7" s="14"/>
      <c r="E7" s="15"/>
      <c r="F7" s="14"/>
      <c r="I7" s="15"/>
      <c r="J7" s="3"/>
      <c r="K7" s="3"/>
      <c r="L7" s="3"/>
      <c r="M7" s="3"/>
      <c r="N7" s="3"/>
      <c r="O7" s="3"/>
      <c r="P7" s="3"/>
      <c r="Q7" s="3"/>
      <c r="R7" s="3"/>
      <c r="S7" s="3"/>
      <c r="T7" s="3"/>
      <c r="U7" s="3"/>
      <c r="V7" s="3"/>
      <c r="W7" s="3"/>
      <c r="X7" s="3"/>
      <c r="Y7" s="3"/>
      <c r="Z7" s="3"/>
      <c r="AA7" s="3"/>
      <c r="AB7" s="3"/>
    </row>
    <row r="8">
      <c r="A8" s="6" t="s">
        <v>8</v>
      </c>
      <c r="B8" s="7">
        <f t="shared" si="1"/>
        <v>8</v>
      </c>
      <c r="C8" s="14"/>
      <c r="E8" s="15"/>
      <c r="F8" s="14"/>
      <c r="I8" s="15"/>
      <c r="J8" s="3"/>
      <c r="K8" s="3"/>
      <c r="L8" s="3"/>
      <c r="M8" s="3"/>
      <c r="N8" s="3"/>
      <c r="O8" s="3"/>
      <c r="P8" s="3"/>
      <c r="Q8" s="3"/>
      <c r="R8" s="3"/>
      <c r="S8" s="3"/>
      <c r="T8" s="3"/>
      <c r="U8" s="3"/>
      <c r="V8" s="3"/>
      <c r="W8" s="3"/>
      <c r="X8" s="3"/>
      <c r="Y8" s="3"/>
      <c r="Z8" s="3"/>
      <c r="AA8" s="3"/>
      <c r="AB8" s="3"/>
    </row>
    <row r="9">
      <c r="A9" s="6" t="s">
        <v>184</v>
      </c>
      <c r="B9" s="23">
        <f>IFERROR(B7/B4,0)</f>
        <v>0.2</v>
      </c>
      <c r="C9" s="14"/>
      <c r="E9" s="15"/>
      <c r="F9" s="14"/>
      <c r="I9" s="15"/>
      <c r="J9" s="3"/>
      <c r="K9" s="3"/>
      <c r="L9" s="3"/>
      <c r="M9" s="3"/>
      <c r="N9" s="3"/>
      <c r="O9" s="3"/>
      <c r="P9" s="3"/>
      <c r="Q9" s="3"/>
      <c r="R9" s="3"/>
      <c r="S9" s="3"/>
      <c r="T9" s="3"/>
      <c r="U9" s="3"/>
      <c r="V9" s="3"/>
      <c r="W9" s="3"/>
      <c r="X9" s="3"/>
      <c r="Y9" s="3"/>
      <c r="Z9" s="3"/>
      <c r="AA9" s="3"/>
      <c r="AB9" s="3"/>
    </row>
    <row r="10" ht="231.75" customHeight="1">
      <c r="A10" s="6" t="s">
        <v>9</v>
      </c>
      <c r="B10" s="7">
        <f>SUM(H13:H23)</f>
        <v>7</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24" t="s">
        <v>12</v>
      </c>
      <c r="B12" s="24" t="s">
        <v>14</v>
      </c>
      <c r="C12" s="24" t="s">
        <v>185</v>
      </c>
      <c r="D12" s="24" t="s">
        <v>186</v>
      </c>
      <c r="E12" s="24" t="s">
        <v>187</v>
      </c>
      <c r="F12" s="24" t="s">
        <v>188</v>
      </c>
      <c r="G12" s="24" t="s">
        <v>189</v>
      </c>
      <c r="H12" s="24" t="s">
        <v>190</v>
      </c>
      <c r="I12" s="24" t="s">
        <v>191</v>
      </c>
      <c r="J12" s="3"/>
      <c r="K12" s="3"/>
      <c r="L12" s="3"/>
      <c r="M12" s="3"/>
      <c r="N12" s="3"/>
      <c r="O12" s="3"/>
      <c r="P12" s="3"/>
      <c r="Q12" s="3"/>
      <c r="R12" s="3"/>
      <c r="S12" s="3"/>
      <c r="T12" s="3"/>
      <c r="U12" s="3"/>
      <c r="V12" s="3"/>
      <c r="W12" s="3"/>
      <c r="X12" s="3"/>
      <c r="Y12" s="3"/>
      <c r="Z12" s="3"/>
      <c r="AA12" s="3"/>
      <c r="AB12" s="3"/>
    </row>
    <row r="13">
      <c r="A13" s="25" t="s">
        <v>68</v>
      </c>
      <c r="B13" s="25" t="s">
        <v>69</v>
      </c>
      <c r="J13" s="3"/>
      <c r="K13" s="3"/>
      <c r="L13" s="3"/>
      <c r="M13" s="3"/>
      <c r="N13" s="3"/>
      <c r="O13" s="3"/>
      <c r="P13" s="3"/>
      <c r="Q13" s="3"/>
      <c r="R13" s="3"/>
      <c r="S13" s="3"/>
      <c r="T13" s="3"/>
      <c r="U13" s="3"/>
      <c r="V13" s="3"/>
      <c r="W13" s="3"/>
      <c r="X13" s="3"/>
      <c r="Y13" s="3"/>
      <c r="Z13" s="3"/>
      <c r="AA13" s="3"/>
      <c r="AB13" s="3"/>
    </row>
    <row r="14">
      <c r="A14" s="26" t="s">
        <v>368</v>
      </c>
      <c r="B14" s="27" t="s">
        <v>369</v>
      </c>
      <c r="C14" s="19" t="s">
        <v>195</v>
      </c>
      <c r="D14" s="27" t="s">
        <v>370</v>
      </c>
      <c r="E14" s="27" t="s">
        <v>371</v>
      </c>
      <c r="F14" s="21" t="s">
        <v>372</v>
      </c>
      <c r="G14" s="19" t="s">
        <v>8</v>
      </c>
      <c r="H14" s="19">
        <v>1.0</v>
      </c>
      <c r="I14" s="19" t="s">
        <v>373</v>
      </c>
      <c r="J14" s="3"/>
      <c r="K14" s="3"/>
      <c r="L14" s="3"/>
      <c r="M14" s="3"/>
      <c r="N14" s="3"/>
      <c r="O14" s="3"/>
      <c r="P14" s="3"/>
      <c r="Q14" s="3"/>
      <c r="R14" s="3"/>
      <c r="S14" s="3"/>
      <c r="T14" s="3"/>
      <c r="U14" s="3"/>
      <c r="V14" s="3"/>
      <c r="W14" s="3"/>
      <c r="X14" s="3"/>
      <c r="Y14" s="3"/>
      <c r="Z14" s="3"/>
      <c r="AA14" s="3"/>
      <c r="AB14" s="3"/>
    </row>
    <row r="15">
      <c r="A15" s="26" t="s">
        <v>374</v>
      </c>
      <c r="B15" s="27" t="s">
        <v>375</v>
      </c>
      <c r="C15" s="19" t="s">
        <v>201</v>
      </c>
      <c r="D15" s="27" t="s">
        <v>376</v>
      </c>
      <c r="E15" s="27" t="s">
        <v>377</v>
      </c>
      <c r="F15" s="21" t="s">
        <v>378</v>
      </c>
      <c r="G15" s="19" t="s">
        <v>7</v>
      </c>
      <c r="H15" s="20"/>
      <c r="I15" s="20"/>
      <c r="J15" s="3"/>
      <c r="K15" s="3"/>
      <c r="L15" s="3"/>
      <c r="M15" s="3"/>
      <c r="N15" s="3"/>
      <c r="O15" s="3"/>
      <c r="P15" s="3"/>
      <c r="Q15" s="3"/>
      <c r="R15" s="3"/>
      <c r="S15" s="3"/>
      <c r="T15" s="3"/>
      <c r="U15" s="3"/>
      <c r="V15" s="3"/>
      <c r="W15" s="3"/>
      <c r="X15" s="3"/>
      <c r="Y15" s="3"/>
      <c r="Z15" s="3"/>
      <c r="AA15" s="3"/>
      <c r="AB15" s="3"/>
    </row>
    <row r="16">
      <c r="A16" s="26" t="s">
        <v>379</v>
      </c>
      <c r="B16" s="27" t="s">
        <v>380</v>
      </c>
      <c r="C16" s="19" t="s">
        <v>195</v>
      </c>
      <c r="D16" s="27" t="s">
        <v>381</v>
      </c>
      <c r="E16" s="27" t="s">
        <v>382</v>
      </c>
      <c r="F16" s="21" t="s">
        <v>383</v>
      </c>
      <c r="G16" s="19" t="s">
        <v>8</v>
      </c>
      <c r="H16" s="20"/>
      <c r="I16" s="19" t="s">
        <v>384</v>
      </c>
      <c r="J16" s="3"/>
      <c r="K16" s="3"/>
      <c r="L16" s="3"/>
      <c r="M16" s="3"/>
      <c r="N16" s="3"/>
      <c r="O16" s="3"/>
      <c r="P16" s="3"/>
      <c r="Q16" s="3"/>
      <c r="R16" s="3"/>
      <c r="S16" s="3"/>
      <c r="T16" s="3"/>
      <c r="U16" s="3"/>
      <c r="V16" s="3"/>
      <c r="W16" s="3"/>
      <c r="X16" s="3"/>
      <c r="Y16" s="3"/>
      <c r="Z16" s="3"/>
      <c r="AA16" s="3"/>
      <c r="AB16" s="3"/>
    </row>
    <row r="17">
      <c r="A17" s="26" t="s">
        <v>385</v>
      </c>
      <c r="B17" s="27" t="s">
        <v>386</v>
      </c>
      <c r="C17" s="19" t="s">
        <v>195</v>
      </c>
      <c r="D17" s="27" t="s">
        <v>387</v>
      </c>
      <c r="E17" s="27" t="s">
        <v>388</v>
      </c>
      <c r="F17" s="21" t="s">
        <v>389</v>
      </c>
      <c r="G17" s="19" t="s">
        <v>8</v>
      </c>
      <c r="H17" s="19">
        <v>1.0</v>
      </c>
      <c r="I17" s="19" t="s">
        <v>390</v>
      </c>
      <c r="J17" s="3"/>
      <c r="K17" s="3"/>
      <c r="L17" s="3"/>
      <c r="M17" s="3"/>
      <c r="N17" s="3"/>
      <c r="O17" s="3"/>
      <c r="P17" s="3"/>
      <c r="Q17" s="3"/>
      <c r="R17" s="3"/>
      <c r="S17" s="3"/>
      <c r="T17" s="3"/>
      <c r="U17" s="3"/>
      <c r="V17" s="3"/>
      <c r="W17" s="3"/>
      <c r="X17" s="3"/>
      <c r="Y17" s="3"/>
      <c r="Z17" s="3"/>
      <c r="AA17" s="3"/>
      <c r="AB17" s="3"/>
    </row>
    <row r="18">
      <c r="A18" s="26" t="s">
        <v>391</v>
      </c>
      <c r="B18" s="27" t="s">
        <v>392</v>
      </c>
      <c r="C18" s="19" t="s">
        <v>201</v>
      </c>
      <c r="D18" s="27" t="s">
        <v>393</v>
      </c>
      <c r="E18" s="27" t="s">
        <v>394</v>
      </c>
      <c r="F18" s="21" t="s">
        <v>395</v>
      </c>
      <c r="G18" s="19" t="s">
        <v>7</v>
      </c>
      <c r="H18" s="20"/>
      <c r="I18" s="20"/>
      <c r="J18" s="3"/>
      <c r="K18" s="3"/>
      <c r="L18" s="3"/>
      <c r="M18" s="3"/>
      <c r="N18" s="3"/>
      <c r="O18" s="3"/>
      <c r="P18" s="3"/>
      <c r="Q18" s="3"/>
      <c r="R18" s="3"/>
      <c r="S18" s="3"/>
      <c r="T18" s="3"/>
      <c r="U18" s="3"/>
      <c r="V18" s="3"/>
      <c r="W18" s="3"/>
      <c r="X18" s="3"/>
      <c r="Y18" s="3"/>
      <c r="Z18" s="3"/>
      <c r="AA18" s="3"/>
      <c r="AB18" s="3"/>
    </row>
    <row r="19">
      <c r="A19" s="26" t="s">
        <v>396</v>
      </c>
      <c r="B19" s="27" t="s">
        <v>397</v>
      </c>
      <c r="C19" s="19" t="s">
        <v>201</v>
      </c>
      <c r="D19" s="27" t="s">
        <v>398</v>
      </c>
      <c r="E19" s="27" t="s">
        <v>399</v>
      </c>
      <c r="F19" s="21" t="s">
        <v>400</v>
      </c>
      <c r="G19" s="19" t="s">
        <v>8</v>
      </c>
      <c r="H19" s="19">
        <v>1.0</v>
      </c>
      <c r="I19" s="19" t="s">
        <v>401</v>
      </c>
      <c r="J19" s="3"/>
      <c r="K19" s="3"/>
      <c r="L19" s="3"/>
      <c r="M19" s="3"/>
      <c r="N19" s="3"/>
      <c r="O19" s="3"/>
      <c r="P19" s="3"/>
      <c r="Q19" s="3"/>
      <c r="R19" s="3"/>
      <c r="S19" s="3"/>
      <c r="T19" s="3"/>
      <c r="U19" s="3"/>
      <c r="V19" s="3"/>
      <c r="W19" s="3"/>
      <c r="X19" s="3"/>
      <c r="Y19" s="3"/>
      <c r="Z19" s="3"/>
      <c r="AA19" s="3"/>
      <c r="AB19" s="3"/>
    </row>
    <row r="20">
      <c r="A20" s="26" t="s">
        <v>402</v>
      </c>
      <c r="B20" s="27" t="s">
        <v>403</v>
      </c>
      <c r="C20" s="19" t="s">
        <v>201</v>
      </c>
      <c r="D20" s="27" t="s">
        <v>404</v>
      </c>
      <c r="E20" s="27" t="s">
        <v>405</v>
      </c>
      <c r="F20" s="21" t="s">
        <v>406</v>
      </c>
      <c r="G20" s="19" t="s">
        <v>8</v>
      </c>
      <c r="H20" s="19">
        <v>1.0</v>
      </c>
      <c r="I20" s="19" t="s">
        <v>407</v>
      </c>
      <c r="J20" s="3"/>
      <c r="K20" s="3"/>
      <c r="L20" s="3"/>
      <c r="M20" s="3"/>
      <c r="N20" s="3"/>
      <c r="O20" s="3"/>
      <c r="P20" s="3"/>
      <c r="Q20" s="3"/>
      <c r="R20" s="3"/>
      <c r="S20" s="3"/>
      <c r="T20" s="3"/>
      <c r="U20" s="3"/>
      <c r="V20" s="3"/>
      <c r="W20" s="3"/>
      <c r="X20" s="3"/>
      <c r="Y20" s="3"/>
      <c r="Z20" s="3"/>
      <c r="AA20" s="3"/>
      <c r="AB20" s="3"/>
    </row>
    <row r="21">
      <c r="A21" s="26" t="s">
        <v>408</v>
      </c>
      <c r="B21" s="27" t="s">
        <v>409</v>
      </c>
      <c r="C21" s="19" t="s">
        <v>201</v>
      </c>
      <c r="D21" s="27" t="s">
        <v>410</v>
      </c>
      <c r="E21" s="27" t="s">
        <v>411</v>
      </c>
      <c r="F21" s="21" t="s">
        <v>412</v>
      </c>
      <c r="G21" s="19" t="s">
        <v>8</v>
      </c>
      <c r="H21" s="19">
        <v>1.0</v>
      </c>
      <c r="I21" s="19" t="s">
        <v>413</v>
      </c>
      <c r="J21" s="3"/>
      <c r="K21" s="3"/>
      <c r="L21" s="3"/>
      <c r="M21" s="3"/>
      <c r="N21" s="3"/>
      <c r="O21" s="3"/>
      <c r="P21" s="3"/>
      <c r="Q21" s="3"/>
      <c r="R21" s="3"/>
      <c r="S21" s="3"/>
      <c r="T21" s="3"/>
      <c r="U21" s="3"/>
      <c r="V21" s="3"/>
      <c r="W21" s="3"/>
      <c r="X21" s="3"/>
      <c r="Y21" s="3"/>
      <c r="Z21" s="3"/>
      <c r="AA21" s="3"/>
      <c r="AB21" s="3"/>
    </row>
    <row r="22">
      <c r="A22" s="26" t="s">
        <v>414</v>
      </c>
      <c r="B22" s="27" t="s">
        <v>415</v>
      </c>
      <c r="C22" s="19" t="s">
        <v>201</v>
      </c>
      <c r="D22" s="27" t="s">
        <v>416</v>
      </c>
      <c r="E22" s="27" t="s">
        <v>417</v>
      </c>
      <c r="F22" s="21" t="s">
        <v>418</v>
      </c>
      <c r="G22" s="19" t="s">
        <v>8</v>
      </c>
      <c r="H22" s="19">
        <v>1.0</v>
      </c>
      <c r="I22" s="19" t="s">
        <v>419</v>
      </c>
      <c r="J22" s="3"/>
      <c r="K22" s="3"/>
      <c r="L22" s="3"/>
      <c r="M22" s="3"/>
      <c r="N22" s="3"/>
      <c r="O22" s="3"/>
      <c r="P22" s="3"/>
      <c r="Q22" s="3"/>
      <c r="R22" s="3"/>
      <c r="S22" s="3"/>
      <c r="T22" s="3"/>
      <c r="U22" s="3"/>
      <c r="V22" s="3"/>
      <c r="W22" s="3"/>
      <c r="X22" s="3"/>
      <c r="Y22" s="3"/>
      <c r="Z22" s="3"/>
      <c r="AA22" s="3"/>
      <c r="AB22" s="3"/>
    </row>
    <row r="23">
      <c r="A23" s="38" t="s">
        <v>420</v>
      </c>
      <c r="B23" s="39" t="s">
        <v>421</v>
      </c>
      <c r="C23" s="19" t="s">
        <v>201</v>
      </c>
      <c r="D23" s="39" t="s">
        <v>422</v>
      </c>
      <c r="E23" s="39" t="s">
        <v>423</v>
      </c>
      <c r="F23" s="21" t="s">
        <v>424</v>
      </c>
      <c r="G23" s="40" t="s">
        <v>8</v>
      </c>
      <c r="H23" s="19">
        <v>1.0</v>
      </c>
      <c r="I23" s="19" t="s">
        <v>425</v>
      </c>
      <c r="J23" s="3"/>
      <c r="K23" s="3"/>
      <c r="L23" s="3"/>
      <c r="M23" s="3"/>
      <c r="N23" s="3"/>
      <c r="O23" s="3"/>
      <c r="P23" s="3"/>
      <c r="Q23" s="3"/>
      <c r="R23" s="3"/>
      <c r="S23" s="3"/>
      <c r="T23" s="3"/>
      <c r="U23" s="3"/>
      <c r="V23" s="3"/>
      <c r="W23" s="3"/>
      <c r="X23" s="3"/>
      <c r="Y23" s="3"/>
      <c r="Z23" s="3"/>
      <c r="AA23" s="3"/>
      <c r="AB23" s="3"/>
    </row>
  </sheetData>
  <mergeCells count="8">
    <mergeCell ref="B1:I1"/>
    <mergeCell ref="B2:I2"/>
    <mergeCell ref="B3:I3"/>
    <mergeCell ref="C4:E4"/>
    <mergeCell ref="F4:I4"/>
    <mergeCell ref="C5:E10"/>
    <mergeCell ref="F5:I10"/>
    <mergeCell ref="B13:I13"/>
  </mergeCells>
  <dataValidations>
    <dataValidation type="list" allowBlank="1" showErrorMessage="1" sqref="C14:C23">
      <formula1>"Positive,Negative,UI/UX"</formula1>
    </dataValidation>
    <dataValidation type="list" allowBlank="1" showErrorMessage="1" sqref="G14:G23">
      <formula1>'PRO-ST'!$A$6:$A$8</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24.88"/>
    <col customWidth="1" min="3" max="3" width="17.5"/>
    <col customWidth="1" min="4" max="4" width="26.88"/>
    <col customWidth="1" min="5" max="5" width="35.13"/>
    <col customWidth="1" min="6" max="6" width="17.5"/>
    <col customWidth="1" min="7" max="7" width="16.13"/>
    <col customWidth="1" min="8" max="8" width="8.13"/>
    <col customWidth="1" min="9" max="9" width="32.13"/>
  </cols>
  <sheetData>
    <row r="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c r="A2" s="6" t="s">
        <v>178</v>
      </c>
      <c r="B2" s="22" t="s">
        <v>179</v>
      </c>
      <c r="C2" s="9"/>
      <c r="D2" s="9"/>
      <c r="E2" s="9"/>
      <c r="F2" s="9"/>
      <c r="G2" s="9"/>
      <c r="H2" s="9"/>
      <c r="I2" s="10"/>
      <c r="J2" s="3"/>
      <c r="K2" s="3"/>
      <c r="L2" s="3"/>
      <c r="M2" s="3"/>
      <c r="N2" s="3"/>
      <c r="O2" s="3"/>
      <c r="P2" s="3"/>
      <c r="Q2" s="3"/>
      <c r="R2" s="3"/>
      <c r="S2" s="3"/>
      <c r="T2" s="3"/>
      <c r="U2" s="3"/>
      <c r="V2" s="3"/>
      <c r="W2" s="3"/>
      <c r="X2" s="3"/>
      <c r="Y2" s="3"/>
      <c r="Z2" s="3"/>
      <c r="AA2" s="3"/>
      <c r="AB2" s="3"/>
    </row>
    <row r="3">
      <c r="A3" s="6" t="s">
        <v>180</v>
      </c>
      <c r="B3" s="22" t="s">
        <v>181</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COUNTA(D13:D22)</f>
        <v>9</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COUNTIFS(D13:D22, "&lt;&gt;", G13:G22, "&lt;&gt;")</f>
        <v>9</v>
      </c>
      <c r="C5" s="11" t="s">
        <v>426</v>
      </c>
      <c r="D5" s="12"/>
      <c r="E5" s="13"/>
      <c r="F5" s="11" t="s">
        <v>427</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COUNTIF($G$13:$G22,A7)</f>
        <v>1</v>
      </c>
      <c r="C7" s="14"/>
      <c r="E7" s="15"/>
      <c r="F7" s="14"/>
      <c r="I7" s="15"/>
      <c r="J7" s="3"/>
      <c r="K7" s="3"/>
      <c r="L7" s="3"/>
      <c r="M7" s="3"/>
      <c r="N7" s="3"/>
      <c r="O7" s="3"/>
      <c r="P7" s="3"/>
      <c r="Q7" s="3"/>
      <c r="R7" s="3"/>
      <c r="S7" s="3"/>
      <c r="T7" s="3"/>
      <c r="U7" s="3"/>
      <c r="V7" s="3"/>
      <c r="W7" s="3"/>
      <c r="X7" s="3"/>
      <c r="Y7" s="3"/>
      <c r="Z7" s="3"/>
      <c r="AA7" s="3"/>
      <c r="AB7" s="3"/>
    </row>
    <row r="8">
      <c r="A8" s="6" t="s">
        <v>8</v>
      </c>
      <c r="B8" s="7">
        <f t="shared" si="1"/>
        <v>8</v>
      </c>
      <c r="C8" s="14"/>
      <c r="E8" s="15"/>
      <c r="F8" s="14"/>
      <c r="I8" s="15"/>
      <c r="J8" s="3"/>
      <c r="K8" s="3"/>
      <c r="L8" s="3"/>
      <c r="M8" s="3"/>
      <c r="N8" s="3"/>
      <c r="O8" s="3"/>
      <c r="P8" s="3"/>
      <c r="Q8" s="3"/>
      <c r="R8" s="3"/>
      <c r="S8" s="3"/>
      <c r="T8" s="3"/>
      <c r="U8" s="3"/>
      <c r="V8" s="3"/>
      <c r="W8" s="3"/>
      <c r="X8" s="3"/>
      <c r="Y8" s="3"/>
      <c r="Z8" s="3"/>
      <c r="AA8" s="3"/>
      <c r="AB8" s="3"/>
    </row>
    <row r="9">
      <c r="A9" s="6" t="s">
        <v>184</v>
      </c>
      <c r="B9" s="23">
        <f>IFERROR(B7/B4,0)</f>
        <v>0.1111111111</v>
      </c>
      <c r="C9" s="14"/>
      <c r="E9" s="15"/>
      <c r="F9" s="14"/>
      <c r="I9" s="15"/>
      <c r="J9" s="3"/>
      <c r="K9" s="3"/>
      <c r="L9" s="3"/>
      <c r="M9" s="3"/>
      <c r="N9" s="3"/>
      <c r="O9" s="3"/>
      <c r="P9" s="3"/>
      <c r="Q9" s="3"/>
      <c r="R9" s="3"/>
      <c r="S9" s="3"/>
      <c r="T9" s="3"/>
      <c r="U9" s="3"/>
      <c r="V9" s="3"/>
      <c r="W9" s="3"/>
      <c r="X9" s="3"/>
      <c r="Y9" s="3"/>
      <c r="Z9" s="3"/>
      <c r="AA9" s="3"/>
      <c r="AB9" s="3"/>
    </row>
    <row r="10" ht="49.5" customHeight="1">
      <c r="A10" s="6" t="s">
        <v>9</v>
      </c>
      <c r="B10" s="7">
        <f>SUM(H13:H22)</f>
        <v>8</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24" t="s">
        <v>12</v>
      </c>
      <c r="B12" s="24" t="s">
        <v>14</v>
      </c>
      <c r="C12" s="24" t="s">
        <v>185</v>
      </c>
      <c r="D12" s="24" t="s">
        <v>186</v>
      </c>
      <c r="E12" s="24" t="s">
        <v>187</v>
      </c>
      <c r="F12" s="24" t="s">
        <v>188</v>
      </c>
      <c r="G12" s="24" t="s">
        <v>189</v>
      </c>
      <c r="H12" s="24" t="s">
        <v>190</v>
      </c>
      <c r="I12" s="24" t="s">
        <v>191</v>
      </c>
      <c r="J12" s="3"/>
      <c r="K12" s="3"/>
      <c r="L12" s="3"/>
      <c r="M12" s="3"/>
      <c r="N12" s="3"/>
      <c r="O12" s="3"/>
      <c r="P12" s="3"/>
      <c r="Q12" s="3"/>
      <c r="R12" s="3"/>
      <c r="S12" s="3"/>
      <c r="T12" s="3"/>
      <c r="U12" s="3"/>
      <c r="V12" s="3"/>
      <c r="W12" s="3"/>
      <c r="X12" s="3"/>
      <c r="Y12" s="3"/>
      <c r="Z12" s="3"/>
      <c r="AA12" s="3"/>
      <c r="AB12" s="3"/>
    </row>
    <row r="13">
      <c r="A13" s="25" t="s">
        <v>70</v>
      </c>
      <c r="B13" s="25" t="s">
        <v>71</v>
      </c>
      <c r="J13" s="3"/>
      <c r="K13" s="3"/>
      <c r="L13" s="3"/>
      <c r="M13" s="3"/>
      <c r="N13" s="3"/>
      <c r="O13" s="3"/>
      <c r="P13" s="3"/>
      <c r="Q13" s="3"/>
      <c r="R13" s="3"/>
      <c r="S13" s="3"/>
      <c r="T13" s="3"/>
      <c r="U13" s="3"/>
      <c r="V13" s="3"/>
      <c r="W13" s="3"/>
      <c r="X13" s="3"/>
      <c r="Y13" s="3"/>
      <c r="Z13" s="3"/>
      <c r="AA13" s="3"/>
      <c r="AB13" s="3"/>
    </row>
    <row r="14" ht="167.25" customHeight="1">
      <c r="A14" s="26" t="s">
        <v>428</v>
      </c>
      <c r="B14" s="27" t="s">
        <v>429</v>
      </c>
      <c r="C14" s="19" t="s">
        <v>195</v>
      </c>
      <c r="D14" s="27" t="s">
        <v>430</v>
      </c>
      <c r="E14" s="27" t="s">
        <v>431</v>
      </c>
      <c r="F14" s="40" t="s">
        <v>432</v>
      </c>
      <c r="G14" s="19" t="s">
        <v>8</v>
      </c>
      <c r="H14" s="19">
        <v>1.0</v>
      </c>
      <c r="I14" s="19" t="s">
        <v>433</v>
      </c>
      <c r="J14" s="3"/>
      <c r="K14" s="3"/>
      <c r="L14" s="3"/>
      <c r="M14" s="3"/>
      <c r="N14" s="3"/>
      <c r="O14" s="3"/>
      <c r="P14" s="3"/>
      <c r="Q14" s="3"/>
      <c r="R14" s="3"/>
      <c r="S14" s="3"/>
      <c r="T14" s="3"/>
      <c r="U14" s="3"/>
      <c r="V14" s="3"/>
      <c r="W14" s="3"/>
      <c r="X14" s="3"/>
      <c r="Y14" s="3"/>
      <c r="Z14" s="3"/>
      <c r="AA14" s="3"/>
      <c r="AB14" s="3"/>
    </row>
    <row r="15">
      <c r="A15" s="26" t="s">
        <v>434</v>
      </c>
      <c r="B15" s="27" t="s">
        <v>435</v>
      </c>
      <c r="C15" s="19" t="s">
        <v>201</v>
      </c>
      <c r="D15" s="27" t="s">
        <v>436</v>
      </c>
      <c r="E15" s="27" t="s">
        <v>437</v>
      </c>
      <c r="F15" s="40" t="s">
        <v>438</v>
      </c>
      <c r="G15" s="19" t="s">
        <v>8</v>
      </c>
      <c r="H15" s="19">
        <v>1.0</v>
      </c>
      <c r="I15" s="19" t="s">
        <v>433</v>
      </c>
      <c r="J15" s="3"/>
      <c r="K15" s="3"/>
      <c r="L15" s="3"/>
      <c r="M15" s="3"/>
      <c r="N15" s="3"/>
      <c r="O15" s="3"/>
      <c r="P15" s="3"/>
      <c r="Q15" s="3"/>
      <c r="R15" s="3"/>
      <c r="S15" s="3"/>
      <c r="T15" s="3"/>
      <c r="U15" s="3"/>
      <c r="V15" s="3"/>
      <c r="W15" s="3"/>
      <c r="X15" s="3"/>
      <c r="Y15" s="3"/>
      <c r="Z15" s="3"/>
      <c r="AA15" s="3"/>
      <c r="AB15" s="3"/>
    </row>
    <row r="16">
      <c r="A16" s="26" t="s">
        <v>439</v>
      </c>
      <c r="B16" s="27" t="s">
        <v>440</v>
      </c>
      <c r="C16" s="19" t="s">
        <v>201</v>
      </c>
      <c r="D16" s="27" t="s">
        <v>441</v>
      </c>
      <c r="E16" s="27" t="s">
        <v>442</v>
      </c>
      <c r="F16" s="21" t="s">
        <v>443</v>
      </c>
      <c r="G16" s="19" t="s">
        <v>7</v>
      </c>
      <c r="H16" s="20"/>
      <c r="I16" s="20"/>
      <c r="J16" s="3"/>
      <c r="K16" s="3"/>
      <c r="L16" s="3"/>
      <c r="M16" s="3"/>
      <c r="N16" s="3"/>
      <c r="O16" s="3"/>
      <c r="P16" s="3"/>
      <c r="Q16" s="3"/>
      <c r="R16" s="3"/>
      <c r="S16" s="3"/>
      <c r="T16" s="3"/>
      <c r="U16" s="3"/>
      <c r="V16" s="3"/>
      <c r="W16" s="3"/>
      <c r="X16" s="3"/>
      <c r="Y16" s="3"/>
      <c r="Z16" s="3"/>
      <c r="AA16" s="3"/>
      <c r="AB16" s="3"/>
    </row>
    <row r="17">
      <c r="A17" s="26" t="s">
        <v>444</v>
      </c>
      <c r="B17" s="27" t="s">
        <v>445</v>
      </c>
      <c r="C17" s="19" t="s">
        <v>201</v>
      </c>
      <c r="D17" s="27" t="s">
        <v>446</v>
      </c>
      <c r="E17" s="27" t="s">
        <v>447</v>
      </c>
      <c r="F17" s="21" t="s">
        <v>448</v>
      </c>
      <c r="G17" s="19" t="s">
        <v>8</v>
      </c>
      <c r="H17" s="19">
        <v>1.0</v>
      </c>
      <c r="I17" s="19" t="s">
        <v>449</v>
      </c>
      <c r="J17" s="3"/>
      <c r="K17" s="3"/>
      <c r="L17" s="3"/>
      <c r="M17" s="3"/>
      <c r="N17" s="3"/>
      <c r="O17" s="3"/>
      <c r="P17" s="3"/>
      <c r="Q17" s="3"/>
      <c r="R17" s="3"/>
      <c r="S17" s="3"/>
      <c r="T17" s="3"/>
      <c r="U17" s="3"/>
      <c r="V17" s="3"/>
      <c r="W17" s="3"/>
      <c r="X17" s="3"/>
      <c r="Y17" s="3"/>
      <c r="Z17" s="3"/>
      <c r="AA17" s="3"/>
      <c r="AB17" s="3"/>
    </row>
    <row r="18">
      <c r="A18" s="26" t="s">
        <v>450</v>
      </c>
      <c r="B18" s="27" t="s">
        <v>451</v>
      </c>
      <c r="C18" s="19" t="s">
        <v>195</v>
      </c>
      <c r="D18" s="27" t="s">
        <v>452</v>
      </c>
      <c r="E18" s="27" t="s">
        <v>453</v>
      </c>
      <c r="F18" s="21" t="s">
        <v>454</v>
      </c>
      <c r="G18" s="19" t="s">
        <v>8</v>
      </c>
      <c r="H18" s="19">
        <v>1.0</v>
      </c>
      <c r="I18" s="19" t="s">
        <v>455</v>
      </c>
      <c r="J18" s="3"/>
      <c r="K18" s="3"/>
      <c r="L18" s="3"/>
      <c r="M18" s="3"/>
      <c r="N18" s="3"/>
      <c r="O18" s="3"/>
      <c r="P18" s="3"/>
      <c r="Q18" s="3"/>
      <c r="R18" s="3"/>
      <c r="S18" s="3"/>
      <c r="T18" s="3"/>
      <c r="U18" s="3"/>
      <c r="V18" s="3"/>
      <c r="W18" s="3"/>
      <c r="X18" s="3"/>
      <c r="Y18" s="3"/>
      <c r="Z18" s="3"/>
      <c r="AA18" s="3"/>
      <c r="AB18" s="3"/>
    </row>
    <row r="19">
      <c r="A19" s="26" t="s">
        <v>456</v>
      </c>
      <c r="B19" s="27" t="s">
        <v>457</v>
      </c>
      <c r="C19" s="19" t="s">
        <v>201</v>
      </c>
      <c r="D19" s="27" t="s">
        <v>458</v>
      </c>
      <c r="E19" s="27" t="s">
        <v>459</v>
      </c>
      <c r="F19" s="21" t="s">
        <v>460</v>
      </c>
      <c r="G19" s="19" t="s">
        <v>8</v>
      </c>
      <c r="H19" s="19">
        <v>1.0</v>
      </c>
      <c r="I19" s="19" t="s">
        <v>455</v>
      </c>
      <c r="J19" s="3"/>
      <c r="K19" s="3"/>
      <c r="L19" s="3"/>
      <c r="M19" s="3"/>
      <c r="N19" s="3"/>
      <c r="O19" s="3"/>
      <c r="P19" s="3"/>
      <c r="Q19" s="3"/>
      <c r="R19" s="3"/>
      <c r="S19" s="3"/>
      <c r="T19" s="3"/>
      <c r="U19" s="3"/>
      <c r="V19" s="3"/>
      <c r="W19" s="3"/>
      <c r="X19" s="3"/>
      <c r="Y19" s="3"/>
      <c r="Z19" s="3"/>
      <c r="AA19" s="3"/>
      <c r="AB19" s="3"/>
    </row>
    <row r="20">
      <c r="A20" s="26" t="s">
        <v>461</v>
      </c>
      <c r="B20" s="27" t="s">
        <v>462</v>
      </c>
      <c r="C20" s="19" t="s">
        <v>195</v>
      </c>
      <c r="D20" s="27" t="s">
        <v>463</v>
      </c>
      <c r="E20" s="27" t="s">
        <v>464</v>
      </c>
      <c r="F20" s="21" t="s">
        <v>465</v>
      </c>
      <c r="G20" s="19" t="s">
        <v>8</v>
      </c>
      <c r="H20" s="19">
        <v>1.0</v>
      </c>
      <c r="I20" s="19" t="s">
        <v>455</v>
      </c>
      <c r="J20" s="3"/>
      <c r="K20" s="3"/>
      <c r="L20" s="3"/>
      <c r="M20" s="3"/>
      <c r="N20" s="3"/>
      <c r="O20" s="3"/>
      <c r="P20" s="3"/>
      <c r="Q20" s="3"/>
      <c r="R20" s="3"/>
      <c r="S20" s="3"/>
      <c r="T20" s="3"/>
      <c r="U20" s="3"/>
      <c r="V20" s="3"/>
      <c r="W20" s="3"/>
      <c r="X20" s="3"/>
      <c r="Y20" s="3"/>
      <c r="Z20" s="3"/>
      <c r="AA20" s="3"/>
      <c r="AB20" s="3"/>
    </row>
    <row r="21">
      <c r="A21" s="26" t="s">
        <v>466</v>
      </c>
      <c r="B21" s="27" t="s">
        <v>467</v>
      </c>
      <c r="C21" s="19" t="s">
        <v>201</v>
      </c>
      <c r="D21" s="27" t="s">
        <v>468</v>
      </c>
      <c r="E21" s="27" t="s">
        <v>469</v>
      </c>
      <c r="F21" s="21" t="s">
        <v>470</v>
      </c>
      <c r="G21" s="19" t="s">
        <v>8</v>
      </c>
      <c r="H21" s="19">
        <v>1.0</v>
      </c>
      <c r="I21" s="19" t="s">
        <v>471</v>
      </c>
      <c r="J21" s="3"/>
      <c r="K21" s="3"/>
      <c r="L21" s="3"/>
      <c r="M21" s="3"/>
      <c r="N21" s="3"/>
      <c r="O21" s="3"/>
      <c r="P21" s="3"/>
      <c r="Q21" s="3"/>
      <c r="R21" s="3"/>
      <c r="S21" s="3"/>
      <c r="T21" s="3"/>
      <c r="U21" s="3"/>
      <c r="V21" s="3"/>
      <c r="W21" s="3"/>
      <c r="X21" s="3"/>
      <c r="Y21" s="3"/>
      <c r="Z21" s="3"/>
      <c r="AA21" s="3"/>
      <c r="AB21" s="3"/>
    </row>
    <row r="22">
      <c r="A22" s="26" t="s">
        <v>472</v>
      </c>
      <c r="B22" s="27" t="s">
        <v>473</v>
      </c>
      <c r="C22" s="19" t="s">
        <v>201</v>
      </c>
      <c r="D22" s="27" t="s">
        <v>474</v>
      </c>
      <c r="E22" s="27" t="s">
        <v>475</v>
      </c>
      <c r="F22" s="21" t="s">
        <v>476</v>
      </c>
      <c r="G22" s="19" t="s">
        <v>8</v>
      </c>
      <c r="H22" s="19">
        <v>1.0</v>
      </c>
      <c r="I22" s="19" t="s">
        <v>477</v>
      </c>
      <c r="J22" s="3"/>
      <c r="K22" s="3"/>
      <c r="L22" s="3"/>
      <c r="M22" s="3"/>
      <c r="N22" s="3"/>
      <c r="O22" s="3"/>
      <c r="P22" s="3"/>
      <c r="Q22" s="3"/>
      <c r="R22" s="3"/>
      <c r="S22" s="3"/>
      <c r="T22" s="3"/>
      <c r="U22" s="3"/>
      <c r="V22" s="3"/>
      <c r="W22" s="3"/>
      <c r="X22" s="3"/>
      <c r="Y22" s="3"/>
      <c r="Z22" s="3"/>
      <c r="AA22" s="3"/>
      <c r="AB22" s="3"/>
    </row>
  </sheetData>
  <mergeCells count="8">
    <mergeCell ref="B1:I1"/>
    <mergeCell ref="B2:I2"/>
    <mergeCell ref="B3:I3"/>
    <mergeCell ref="C4:E4"/>
    <mergeCell ref="F4:I4"/>
    <mergeCell ref="C5:E10"/>
    <mergeCell ref="F5:I10"/>
    <mergeCell ref="B13:I13"/>
  </mergeCells>
  <dataValidations>
    <dataValidation type="list" allowBlank="1" showErrorMessage="1" sqref="G14:G22">
      <formula1>'PWD-ST'!$A$6:$A$8</formula1>
    </dataValidation>
    <dataValidation type="list" allowBlank="1" showErrorMessage="1" sqref="C14:C22">
      <formula1>"Positive,Negative,UI/UX"</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24.88"/>
    <col customWidth="1" min="3" max="3" width="10.25"/>
    <col customWidth="1" min="4" max="4" width="40.88"/>
    <col customWidth="1" min="5" max="5" width="40.75"/>
    <col customWidth="1" min="6" max="6" width="17.5"/>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179</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181</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COUNTA(D13:D21)</f>
        <v>8</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COUNTIFS(D13:D21, "&lt;&gt;", G13:G21, "&lt;&gt;")</f>
        <v>8</v>
      </c>
      <c r="C5" s="11" t="s">
        <v>478</v>
      </c>
      <c r="D5" s="12"/>
      <c r="E5" s="13"/>
      <c r="F5" s="11" t="s">
        <v>479</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COUNTIF($G$13:$G21,A7)</f>
        <v>8</v>
      </c>
      <c r="C7" s="14"/>
      <c r="E7" s="15"/>
      <c r="F7" s="14"/>
      <c r="I7" s="15"/>
      <c r="J7" s="3"/>
      <c r="K7" s="3"/>
      <c r="L7" s="3"/>
      <c r="M7" s="3"/>
      <c r="N7" s="3"/>
      <c r="O7" s="3"/>
      <c r="P7" s="3"/>
      <c r="Q7" s="3"/>
      <c r="R7" s="3"/>
      <c r="S7" s="3"/>
      <c r="T7" s="3"/>
      <c r="U7" s="3"/>
      <c r="V7" s="3"/>
      <c r="W7" s="3"/>
      <c r="X7" s="3"/>
      <c r="Y7" s="3"/>
      <c r="Z7" s="3"/>
      <c r="AA7" s="3"/>
      <c r="AB7" s="3"/>
    </row>
    <row r="8">
      <c r="A8" s="6" t="s">
        <v>8</v>
      </c>
      <c r="B8" s="7">
        <f t="shared" si="1"/>
        <v>0</v>
      </c>
      <c r="C8" s="14"/>
      <c r="E8" s="15"/>
      <c r="F8" s="14"/>
      <c r="I8" s="15"/>
      <c r="J8" s="3"/>
      <c r="K8" s="3"/>
      <c r="L8" s="3"/>
      <c r="M8" s="3"/>
      <c r="N8" s="3"/>
      <c r="O8" s="3"/>
      <c r="P8" s="3"/>
      <c r="Q8" s="3"/>
      <c r="R8" s="3"/>
      <c r="S8" s="3"/>
      <c r="T8" s="3"/>
      <c r="U8" s="3"/>
      <c r="V8" s="3"/>
      <c r="W8" s="3"/>
      <c r="X8" s="3"/>
      <c r="Y8" s="3"/>
      <c r="Z8" s="3"/>
      <c r="AA8" s="3"/>
      <c r="AB8" s="3"/>
    </row>
    <row r="9">
      <c r="A9" s="6" t="s">
        <v>184</v>
      </c>
      <c r="B9" s="23">
        <f>IFERROR(B7/B4,0)</f>
        <v>1</v>
      </c>
      <c r="C9" s="14"/>
      <c r="E9" s="15"/>
      <c r="F9" s="14"/>
      <c r="I9" s="15"/>
      <c r="J9" s="3"/>
      <c r="K9" s="3"/>
      <c r="L9" s="3"/>
      <c r="M9" s="3"/>
      <c r="N9" s="3"/>
      <c r="O9" s="3"/>
      <c r="P9" s="3"/>
      <c r="Q9" s="3"/>
      <c r="R9" s="3"/>
      <c r="S9" s="3"/>
      <c r="T9" s="3"/>
      <c r="U9" s="3"/>
      <c r="V9" s="3"/>
      <c r="W9" s="3"/>
      <c r="X9" s="3"/>
      <c r="Y9" s="3"/>
      <c r="Z9" s="3"/>
      <c r="AA9" s="3"/>
      <c r="AB9" s="3"/>
    </row>
    <row r="10" ht="263.25" customHeight="1">
      <c r="A10" s="6" t="s">
        <v>9</v>
      </c>
      <c r="B10" s="7">
        <f>SUM(H13:H21)</f>
        <v>0</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24" t="s">
        <v>12</v>
      </c>
      <c r="B12" s="24" t="s">
        <v>14</v>
      </c>
      <c r="C12" s="24" t="s">
        <v>185</v>
      </c>
      <c r="D12" s="24" t="s">
        <v>186</v>
      </c>
      <c r="E12" s="24" t="s">
        <v>187</v>
      </c>
      <c r="F12" s="24" t="s">
        <v>188</v>
      </c>
      <c r="G12" s="24" t="s">
        <v>189</v>
      </c>
      <c r="H12" s="24" t="s">
        <v>190</v>
      </c>
      <c r="I12" s="24" t="s">
        <v>191</v>
      </c>
      <c r="J12" s="3"/>
      <c r="K12" s="3"/>
      <c r="L12" s="3"/>
      <c r="M12" s="3"/>
      <c r="N12" s="3"/>
      <c r="O12" s="3"/>
      <c r="P12" s="3"/>
      <c r="Q12" s="3"/>
      <c r="R12" s="3"/>
      <c r="S12" s="3"/>
      <c r="T12" s="3"/>
      <c r="U12" s="3"/>
      <c r="V12" s="3"/>
      <c r="W12" s="3"/>
      <c r="X12" s="3"/>
      <c r="Y12" s="3"/>
      <c r="Z12" s="3"/>
      <c r="AA12" s="3"/>
      <c r="AB12" s="3"/>
    </row>
    <row r="13">
      <c r="A13" s="25" t="s">
        <v>72</v>
      </c>
      <c r="B13" s="25" t="s">
        <v>73</v>
      </c>
      <c r="J13" s="3"/>
      <c r="K13" s="3"/>
      <c r="L13" s="3"/>
      <c r="M13" s="3"/>
      <c r="N13" s="3"/>
      <c r="O13" s="3"/>
      <c r="P13" s="3"/>
      <c r="Q13" s="3"/>
      <c r="R13" s="3"/>
      <c r="S13" s="3"/>
      <c r="T13" s="3"/>
      <c r="U13" s="3"/>
      <c r="V13" s="3"/>
      <c r="W13" s="3"/>
      <c r="X13" s="3"/>
      <c r="Y13" s="3"/>
      <c r="Z13" s="3"/>
      <c r="AA13" s="3"/>
      <c r="AB13" s="3"/>
    </row>
    <row r="14">
      <c r="A14" s="26" t="s">
        <v>480</v>
      </c>
      <c r="B14" s="27" t="s">
        <v>481</v>
      </c>
      <c r="C14" s="19" t="s">
        <v>195</v>
      </c>
      <c r="D14" s="27" t="s">
        <v>482</v>
      </c>
      <c r="E14" s="27" t="s">
        <v>483</v>
      </c>
      <c r="F14" s="40" t="s">
        <v>484</v>
      </c>
      <c r="G14" s="19" t="s">
        <v>7</v>
      </c>
      <c r="H14" s="20"/>
      <c r="I14" s="20"/>
      <c r="J14" s="3"/>
      <c r="K14" s="3"/>
      <c r="L14" s="3"/>
      <c r="M14" s="3"/>
      <c r="N14" s="3"/>
      <c r="O14" s="3"/>
      <c r="P14" s="3"/>
      <c r="Q14" s="3"/>
      <c r="R14" s="3"/>
      <c r="S14" s="3"/>
      <c r="T14" s="3"/>
      <c r="U14" s="3"/>
      <c r="V14" s="3"/>
      <c r="W14" s="3"/>
      <c r="X14" s="3"/>
      <c r="Y14" s="3"/>
      <c r="Z14" s="3"/>
      <c r="AA14" s="3"/>
      <c r="AB14" s="3"/>
    </row>
    <row r="15">
      <c r="A15" s="26" t="s">
        <v>485</v>
      </c>
      <c r="B15" s="27" t="s">
        <v>486</v>
      </c>
      <c r="C15" s="19" t="s">
        <v>201</v>
      </c>
      <c r="D15" s="27" t="s">
        <v>487</v>
      </c>
      <c r="E15" s="27" t="s">
        <v>488</v>
      </c>
      <c r="F15" s="40" t="s">
        <v>489</v>
      </c>
      <c r="G15" s="19" t="s">
        <v>7</v>
      </c>
      <c r="H15" s="20"/>
      <c r="I15" s="20"/>
      <c r="J15" s="3"/>
      <c r="K15" s="3"/>
      <c r="L15" s="3"/>
      <c r="M15" s="3"/>
      <c r="N15" s="3"/>
      <c r="O15" s="3"/>
      <c r="P15" s="3"/>
      <c r="Q15" s="3"/>
      <c r="R15" s="3"/>
      <c r="S15" s="3"/>
      <c r="T15" s="3"/>
      <c r="U15" s="3"/>
      <c r="V15" s="3"/>
      <c r="W15" s="3"/>
      <c r="X15" s="3"/>
      <c r="Y15" s="3"/>
      <c r="Z15" s="3"/>
      <c r="AA15" s="3"/>
      <c r="AB15" s="3"/>
    </row>
    <row r="16">
      <c r="A16" s="26" t="s">
        <v>490</v>
      </c>
      <c r="B16" s="27" t="s">
        <v>491</v>
      </c>
      <c r="C16" s="19" t="s">
        <v>195</v>
      </c>
      <c r="D16" s="27" t="s">
        <v>492</v>
      </c>
      <c r="E16" s="27" t="s">
        <v>493</v>
      </c>
      <c r="F16" s="40" t="s">
        <v>494</v>
      </c>
      <c r="G16" s="19" t="s">
        <v>7</v>
      </c>
      <c r="H16" s="20"/>
      <c r="I16" s="20"/>
      <c r="J16" s="3"/>
      <c r="K16" s="3"/>
      <c r="L16" s="3"/>
      <c r="M16" s="3"/>
      <c r="N16" s="3"/>
      <c r="O16" s="3"/>
      <c r="P16" s="3"/>
      <c r="Q16" s="3"/>
      <c r="R16" s="3"/>
      <c r="S16" s="3"/>
      <c r="T16" s="3"/>
      <c r="U16" s="3"/>
      <c r="V16" s="3"/>
      <c r="W16" s="3"/>
      <c r="X16" s="3"/>
      <c r="Y16" s="3"/>
      <c r="Z16" s="3"/>
      <c r="AA16" s="3"/>
      <c r="AB16" s="3"/>
    </row>
    <row r="17">
      <c r="A17" s="26" t="s">
        <v>495</v>
      </c>
      <c r="B17" s="27" t="s">
        <v>496</v>
      </c>
      <c r="C17" s="19" t="s">
        <v>195</v>
      </c>
      <c r="D17" s="27" t="s">
        <v>497</v>
      </c>
      <c r="E17" s="27" t="s">
        <v>498</v>
      </c>
      <c r="F17" s="40" t="s">
        <v>499</v>
      </c>
      <c r="G17" s="19" t="s">
        <v>7</v>
      </c>
      <c r="H17" s="20"/>
      <c r="I17" s="20"/>
      <c r="J17" s="3"/>
      <c r="K17" s="3"/>
      <c r="L17" s="3"/>
      <c r="M17" s="3"/>
      <c r="N17" s="3"/>
      <c r="O17" s="3"/>
      <c r="P17" s="3"/>
      <c r="Q17" s="3"/>
      <c r="R17" s="3"/>
      <c r="S17" s="3"/>
      <c r="T17" s="3"/>
      <c r="U17" s="3"/>
      <c r="V17" s="3"/>
      <c r="W17" s="3"/>
      <c r="X17" s="3"/>
      <c r="Y17" s="3"/>
      <c r="Z17" s="3"/>
      <c r="AA17" s="3"/>
      <c r="AB17" s="3"/>
    </row>
    <row r="18">
      <c r="A18" s="26" t="s">
        <v>500</v>
      </c>
      <c r="B18" s="27" t="s">
        <v>501</v>
      </c>
      <c r="C18" s="19" t="s">
        <v>201</v>
      </c>
      <c r="D18" s="27" t="s">
        <v>502</v>
      </c>
      <c r="E18" s="27" t="s">
        <v>503</v>
      </c>
      <c r="F18" s="40" t="s">
        <v>504</v>
      </c>
      <c r="G18" s="19" t="s">
        <v>7</v>
      </c>
      <c r="H18" s="20"/>
      <c r="I18" s="20"/>
      <c r="J18" s="3"/>
      <c r="K18" s="3"/>
      <c r="L18" s="3"/>
      <c r="M18" s="3"/>
      <c r="N18" s="3"/>
      <c r="O18" s="3"/>
      <c r="P18" s="3"/>
      <c r="Q18" s="3"/>
      <c r="R18" s="3"/>
      <c r="S18" s="3"/>
      <c r="T18" s="3"/>
      <c r="U18" s="3"/>
      <c r="V18" s="3"/>
      <c r="W18" s="3"/>
      <c r="X18" s="3"/>
      <c r="Y18" s="3"/>
      <c r="Z18" s="3"/>
      <c r="AA18" s="3"/>
      <c r="AB18" s="3"/>
    </row>
    <row r="19">
      <c r="A19" s="26" t="s">
        <v>505</v>
      </c>
      <c r="B19" s="27" t="s">
        <v>506</v>
      </c>
      <c r="C19" s="19" t="s">
        <v>195</v>
      </c>
      <c r="D19" s="27" t="s">
        <v>507</v>
      </c>
      <c r="E19" s="27" t="s">
        <v>508</v>
      </c>
      <c r="F19" s="40" t="s">
        <v>509</v>
      </c>
      <c r="G19" s="19" t="s">
        <v>7</v>
      </c>
      <c r="H19" s="20"/>
      <c r="I19" s="20"/>
      <c r="J19" s="3"/>
      <c r="K19" s="3"/>
      <c r="L19" s="3"/>
      <c r="M19" s="3"/>
      <c r="N19" s="3"/>
      <c r="O19" s="3"/>
      <c r="P19" s="3"/>
      <c r="Q19" s="3"/>
      <c r="R19" s="3"/>
      <c r="S19" s="3"/>
      <c r="T19" s="3"/>
      <c r="U19" s="3"/>
      <c r="V19" s="3"/>
      <c r="W19" s="3"/>
      <c r="X19" s="3"/>
      <c r="Y19" s="3"/>
      <c r="Z19" s="3"/>
      <c r="AA19" s="3"/>
      <c r="AB19" s="3"/>
    </row>
    <row r="20">
      <c r="A20" s="26" t="s">
        <v>510</v>
      </c>
      <c r="B20" s="27" t="s">
        <v>511</v>
      </c>
      <c r="C20" s="19" t="s">
        <v>195</v>
      </c>
      <c r="D20" s="27" t="s">
        <v>512</v>
      </c>
      <c r="E20" s="27" t="s">
        <v>513</v>
      </c>
      <c r="F20" s="41" t="s">
        <v>514</v>
      </c>
      <c r="G20" s="19" t="s">
        <v>7</v>
      </c>
      <c r="H20" s="20"/>
      <c r="I20" s="20"/>
      <c r="J20" s="3"/>
      <c r="K20" s="3"/>
      <c r="L20" s="3"/>
      <c r="M20" s="3"/>
      <c r="N20" s="3"/>
      <c r="O20" s="3"/>
      <c r="P20" s="3"/>
      <c r="Q20" s="3"/>
      <c r="R20" s="3"/>
      <c r="S20" s="3"/>
      <c r="T20" s="3"/>
      <c r="U20" s="3"/>
      <c r="V20" s="3"/>
      <c r="W20" s="3"/>
      <c r="X20" s="3"/>
      <c r="Y20" s="3"/>
      <c r="Z20" s="3"/>
      <c r="AA20" s="3"/>
      <c r="AB20" s="3"/>
    </row>
    <row r="21">
      <c r="A21" s="26" t="s">
        <v>515</v>
      </c>
      <c r="B21" s="27" t="s">
        <v>516</v>
      </c>
      <c r="C21" s="19" t="s">
        <v>195</v>
      </c>
      <c r="D21" s="27" t="s">
        <v>517</v>
      </c>
      <c r="E21" s="27" t="s">
        <v>518</v>
      </c>
      <c r="F21" s="28" t="s">
        <v>519</v>
      </c>
      <c r="G21" s="40" t="s">
        <v>7</v>
      </c>
      <c r="H21" s="20"/>
      <c r="I21" s="20"/>
      <c r="J21" s="3"/>
      <c r="K21" s="3"/>
      <c r="L21" s="3"/>
      <c r="M21" s="3"/>
      <c r="N21" s="3"/>
      <c r="O21" s="3"/>
      <c r="P21" s="3"/>
      <c r="Q21" s="3"/>
      <c r="R21" s="3"/>
      <c r="S21" s="3"/>
      <c r="T21" s="3"/>
      <c r="U21" s="3"/>
      <c r="V21" s="3"/>
      <c r="W21" s="3"/>
      <c r="X21" s="3"/>
      <c r="Y21" s="3"/>
      <c r="Z21" s="3"/>
      <c r="AA21" s="3"/>
      <c r="AB21" s="3"/>
    </row>
  </sheetData>
  <mergeCells count="8">
    <mergeCell ref="B1:I1"/>
    <mergeCell ref="B2:I2"/>
    <mergeCell ref="B3:I3"/>
    <mergeCell ref="C4:E4"/>
    <mergeCell ref="F4:I4"/>
    <mergeCell ref="C5:E10"/>
    <mergeCell ref="F5:I10"/>
    <mergeCell ref="B13:I13"/>
  </mergeCells>
  <dataValidations>
    <dataValidation type="list" allowBlank="1" showErrorMessage="1" sqref="G14:G21">
      <formula1>'UM-ST'!$A$6:$A$8</formula1>
    </dataValidation>
    <dataValidation type="list" allowBlank="1" showErrorMessage="1" sqref="C14:C21">
      <formula1>"Positive,Negative,UI/UX"</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13"/>
    <col customWidth="1" min="2" max="2" width="32.13"/>
    <col customWidth="1" min="3" max="3" width="4.13"/>
    <col customWidth="1" min="4" max="4" width="32.13"/>
    <col customWidth="1" min="5" max="5" width="16.13"/>
    <col customWidth="1" min="6" max="6" width="8.13"/>
    <col customWidth="1" min="7" max="7" width="32.13"/>
  </cols>
  <sheetData>
    <row r="1" ht="31.5" customHeight="1">
      <c r="A1" s="6" t="s">
        <v>0</v>
      </c>
      <c r="B1" s="22" t="s">
        <v>1</v>
      </c>
      <c r="C1" s="9"/>
      <c r="D1" s="9"/>
      <c r="E1" s="9"/>
      <c r="F1" s="9"/>
      <c r="G1" s="9"/>
      <c r="H1" s="10"/>
      <c r="I1" s="3"/>
      <c r="J1" s="3"/>
      <c r="K1" s="3"/>
      <c r="L1" s="3"/>
      <c r="M1" s="3"/>
      <c r="N1" s="3"/>
      <c r="O1" s="3"/>
      <c r="P1" s="3"/>
      <c r="Q1" s="3"/>
      <c r="R1" s="3"/>
      <c r="S1" s="3"/>
      <c r="T1" s="3"/>
      <c r="U1" s="3"/>
      <c r="V1" s="3"/>
      <c r="W1" s="3"/>
      <c r="X1" s="3"/>
      <c r="Y1" s="3"/>
      <c r="Z1" s="3"/>
    </row>
    <row r="2">
      <c r="I2" s="3"/>
      <c r="J2" s="3"/>
      <c r="K2" s="3"/>
      <c r="L2" s="3"/>
      <c r="M2" s="3"/>
      <c r="N2" s="3"/>
      <c r="O2" s="3"/>
      <c r="P2" s="3"/>
      <c r="Q2" s="3"/>
      <c r="R2" s="3"/>
      <c r="S2" s="3"/>
      <c r="T2" s="3"/>
      <c r="U2" s="3"/>
      <c r="V2" s="3"/>
      <c r="W2" s="3"/>
      <c r="X2" s="3"/>
      <c r="Y2" s="3"/>
      <c r="Z2" s="3"/>
    </row>
    <row r="3">
      <c r="A3" s="6" t="s">
        <v>2</v>
      </c>
      <c r="B3" s="7" t="s">
        <v>520</v>
      </c>
      <c r="D3" s="8" t="s">
        <v>3</v>
      </c>
      <c r="E3" s="9"/>
      <c r="F3" s="9"/>
      <c r="G3" s="10"/>
      <c r="I3" s="3"/>
      <c r="J3" s="3"/>
      <c r="K3" s="3"/>
      <c r="L3" s="3"/>
      <c r="M3" s="3"/>
      <c r="N3" s="3"/>
      <c r="O3" s="3"/>
      <c r="P3" s="3"/>
      <c r="Q3" s="3"/>
      <c r="R3" s="3"/>
      <c r="S3" s="3"/>
      <c r="T3" s="3"/>
      <c r="U3" s="3"/>
      <c r="V3" s="3"/>
      <c r="W3" s="3"/>
      <c r="X3" s="3"/>
      <c r="Y3" s="3"/>
      <c r="Z3" s="3"/>
    </row>
    <row r="4">
      <c r="A4" s="6" t="s">
        <v>4</v>
      </c>
      <c r="B4" s="7" t="s">
        <v>520</v>
      </c>
      <c r="D4" s="11" t="s">
        <v>521</v>
      </c>
      <c r="E4" s="12"/>
      <c r="F4" s="12"/>
      <c r="G4" s="13"/>
      <c r="I4" s="3"/>
      <c r="J4" s="3"/>
      <c r="K4" s="3"/>
      <c r="L4" s="3"/>
      <c r="M4" s="3"/>
      <c r="N4" s="3"/>
      <c r="O4" s="3"/>
      <c r="P4" s="3"/>
      <c r="Q4" s="3"/>
      <c r="R4" s="3"/>
      <c r="S4" s="3"/>
      <c r="T4" s="3"/>
      <c r="U4" s="3"/>
      <c r="V4" s="3"/>
      <c r="W4" s="3"/>
      <c r="X4" s="3"/>
      <c r="Y4" s="3"/>
      <c r="Z4" s="3"/>
    </row>
    <row r="5">
      <c r="A5" s="6" t="s">
        <v>6</v>
      </c>
      <c r="B5" s="7" t="s">
        <v>520</v>
      </c>
      <c r="D5" s="14"/>
      <c r="G5" s="15"/>
      <c r="I5" s="3"/>
      <c r="J5" s="3"/>
      <c r="K5" s="3"/>
      <c r="L5" s="3"/>
      <c r="M5" s="3"/>
      <c r="N5" s="3"/>
      <c r="O5" s="3"/>
      <c r="P5" s="3"/>
      <c r="Q5" s="3"/>
      <c r="R5" s="3"/>
      <c r="S5" s="3"/>
      <c r="T5" s="3"/>
      <c r="U5" s="3"/>
      <c r="V5" s="3"/>
      <c r="W5" s="3"/>
      <c r="X5" s="3"/>
      <c r="Y5" s="3"/>
      <c r="Z5" s="3"/>
    </row>
    <row r="6">
      <c r="A6" s="6" t="s">
        <v>7</v>
      </c>
      <c r="B6" s="7" t="s">
        <v>520</v>
      </c>
      <c r="D6" s="14"/>
      <c r="G6" s="15"/>
      <c r="I6" s="3"/>
      <c r="J6" s="3"/>
      <c r="K6" s="3"/>
      <c r="L6" s="3"/>
      <c r="M6" s="3"/>
      <c r="N6" s="3"/>
      <c r="O6" s="3"/>
      <c r="P6" s="3"/>
      <c r="Q6" s="3"/>
      <c r="R6" s="3"/>
      <c r="S6" s="3"/>
      <c r="T6" s="3"/>
      <c r="U6" s="3"/>
      <c r="V6" s="3"/>
      <c r="W6" s="3"/>
      <c r="X6" s="3"/>
      <c r="Y6" s="3"/>
      <c r="Z6" s="3"/>
    </row>
    <row r="7">
      <c r="A7" s="6" t="s">
        <v>8</v>
      </c>
      <c r="B7" s="7" t="s">
        <v>520</v>
      </c>
      <c r="D7" s="14"/>
      <c r="G7" s="15"/>
      <c r="I7" s="3"/>
      <c r="J7" s="3"/>
      <c r="K7" s="3"/>
      <c r="L7" s="3"/>
      <c r="M7" s="3"/>
      <c r="N7" s="3"/>
      <c r="O7" s="3"/>
      <c r="P7" s="3"/>
      <c r="Q7" s="3"/>
      <c r="R7" s="3"/>
      <c r="S7" s="3"/>
      <c r="T7" s="3"/>
      <c r="U7" s="3"/>
      <c r="V7" s="3"/>
      <c r="W7" s="3"/>
      <c r="X7" s="3"/>
      <c r="Y7" s="3"/>
      <c r="Z7" s="3"/>
    </row>
    <row r="8">
      <c r="A8" s="6" t="s">
        <v>9</v>
      </c>
      <c r="B8" s="7" t="s">
        <v>520</v>
      </c>
      <c r="D8" s="14"/>
      <c r="G8" s="15"/>
      <c r="I8" s="3"/>
      <c r="J8" s="3"/>
      <c r="K8" s="3"/>
      <c r="L8" s="3"/>
      <c r="M8" s="3"/>
      <c r="N8" s="3"/>
      <c r="O8" s="3"/>
      <c r="P8" s="3"/>
      <c r="Q8" s="3"/>
      <c r="R8" s="3"/>
      <c r="S8" s="3"/>
      <c r="T8" s="3"/>
      <c r="U8" s="3"/>
      <c r="V8" s="3"/>
      <c r="W8" s="3"/>
      <c r="X8" s="3"/>
      <c r="Y8" s="3"/>
      <c r="Z8" s="3"/>
    </row>
    <row r="9">
      <c r="A9" s="5"/>
      <c r="B9" s="5"/>
      <c r="C9" s="5"/>
      <c r="D9" s="14"/>
      <c r="G9" s="15"/>
      <c r="H9" s="3"/>
      <c r="I9" s="3"/>
      <c r="J9" s="3"/>
      <c r="K9" s="3"/>
      <c r="L9" s="3"/>
      <c r="M9" s="3"/>
      <c r="N9" s="3"/>
      <c r="O9" s="3"/>
      <c r="P9" s="3"/>
      <c r="Q9" s="3"/>
      <c r="R9" s="3"/>
      <c r="S9" s="3"/>
      <c r="T9" s="3"/>
      <c r="U9" s="3"/>
      <c r="V9" s="3"/>
      <c r="W9" s="3"/>
      <c r="X9" s="3"/>
      <c r="Y9" s="3"/>
      <c r="Z9" s="3"/>
    </row>
    <row r="10">
      <c r="A10" s="8" t="s">
        <v>10</v>
      </c>
      <c r="B10" s="10"/>
      <c r="C10" s="5"/>
      <c r="D10" s="14"/>
      <c r="G10" s="15"/>
      <c r="H10" s="3"/>
      <c r="I10" s="3"/>
      <c r="J10" s="3"/>
      <c r="K10" s="3"/>
      <c r="L10" s="3"/>
      <c r="M10" s="3"/>
      <c r="N10" s="3"/>
      <c r="O10" s="3"/>
      <c r="P10" s="3"/>
      <c r="Q10" s="3"/>
      <c r="R10" s="3"/>
      <c r="S10" s="3"/>
      <c r="T10" s="3"/>
      <c r="U10" s="3"/>
      <c r="V10" s="3"/>
      <c r="W10" s="3"/>
      <c r="X10" s="3"/>
      <c r="Y10" s="3"/>
      <c r="Z10" s="3"/>
    </row>
    <row r="11">
      <c r="A11" s="11" t="s">
        <v>522</v>
      </c>
      <c r="B11" s="13"/>
      <c r="C11" s="5"/>
      <c r="D11" s="14"/>
      <c r="G11" s="15"/>
      <c r="H11" s="3"/>
      <c r="I11" s="3"/>
      <c r="J11" s="3"/>
      <c r="K11" s="3"/>
      <c r="L11" s="3"/>
      <c r="M11" s="3"/>
      <c r="N11" s="3"/>
      <c r="O11" s="3"/>
      <c r="P11" s="3"/>
      <c r="Q11" s="3"/>
      <c r="R11" s="3"/>
      <c r="S11" s="3"/>
      <c r="T11" s="3"/>
      <c r="U11" s="3"/>
      <c r="V11" s="3"/>
      <c r="W11" s="3"/>
      <c r="X11" s="3"/>
      <c r="Y11" s="3"/>
      <c r="Z11" s="3"/>
    </row>
    <row r="12">
      <c r="A12" s="14"/>
      <c r="B12" s="15"/>
      <c r="C12" s="5"/>
      <c r="D12" s="14"/>
      <c r="G12" s="15"/>
      <c r="H12" s="3"/>
      <c r="I12" s="3"/>
      <c r="J12" s="3"/>
      <c r="K12" s="3"/>
      <c r="L12" s="3"/>
      <c r="M12" s="3"/>
      <c r="N12" s="3"/>
      <c r="O12" s="3"/>
      <c r="P12" s="3"/>
      <c r="Q12" s="3"/>
      <c r="R12" s="3"/>
      <c r="S12" s="3"/>
      <c r="T12" s="3"/>
      <c r="U12" s="3"/>
      <c r="V12" s="3"/>
      <c r="W12" s="3"/>
      <c r="X12" s="3"/>
      <c r="Y12" s="3"/>
      <c r="Z12" s="3"/>
    </row>
    <row r="13">
      <c r="A13" s="14"/>
      <c r="B13" s="15"/>
      <c r="C13" s="5"/>
      <c r="D13" s="14"/>
      <c r="G13" s="15"/>
      <c r="H13" s="3"/>
      <c r="I13" s="3"/>
      <c r="J13" s="3"/>
      <c r="K13" s="3"/>
      <c r="L13" s="3"/>
      <c r="M13" s="3"/>
      <c r="N13" s="3"/>
      <c r="O13" s="3"/>
      <c r="P13" s="3"/>
      <c r="Q13" s="3"/>
      <c r="R13" s="3"/>
      <c r="S13" s="3"/>
      <c r="T13" s="3"/>
      <c r="U13" s="3"/>
      <c r="V13" s="3"/>
      <c r="W13" s="3"/>
      <c r="X13" s="3"/>
      <c r="Y13" s="3"/>
      <c r="Z13" s="3"/>
    </row>
    <row r="14">
      <c r="A14" s="14"/>
      <c r="B14" s="15"/>
      <c r="C14" s="5"/>
      <c r="D14" s="14"/>
      <c r="G14" s="15"/>
      <c r="H14" s="3"/>
      <c r="I14" s="3"/>
      <c r="J14" s="3"/>
      <c r="K14" s="3"/>
      <c r="L14" s="3"/>
      <c r="M14" s="3"/>
      <c r="N14" s="3"/>
      <c r="O14" s="3"/>
      <c r="P14" s="3"/>
      <c r="Q14" s="3"/>
      <c r="R14" s="3"/>
      <c r="S14" s="3"/>
      <c r="T14" s="3"/>
      <c r="U14" s="3"/>
      <c r="V14" s="3"/>
      <c r="W14" s="3"/>
      <c r="X14" s="3"/>
      <c r="Y14" s="3"/>
      <c r="Z14" s="3"/>
    </row>
    <row r="15">
      <c r="A15" s="14"/>
      <c r="B15" s="15"/>
      <c r="C15" s="5"/>
      <c r="D15" s="14"/>
      <c r="G15" s="15"/>
      <c r="H15" s="3"/>
      <c r="I15" s="3"/>
      <c r="J15" s="3"/>
      <c r="K15" s="3"/>
      <c r="L15" s="3"/>
      <c r="M15" s="3"/>
      <c r="N15" s="3"/>
      <c r="O15" s="3"/>
      <c r="P15" s="3"/>
      <c r="Q15" s="3"/>
      <c r="R15" s="3"/>
      <c r="S15" s="3"/>
      <c r="T15" s="3"/>
      <c r="U15" s="3"/>
      <c r="V15" s="3"/>
      <c r="W15" s="3"/>
      <c r="X15" s="3"/>
      <c r="Y15" s="3"/>
      <c r="Z15" s="3"/>
    </row>
    <row r="16">
      <c r="A16" s="16"/>
      <c r="B16" s="17"/>
      <c r="C16" s="5"/>
      <c r="D16" s="16"/>
      <c r="E16" s="18"/>
      <c r="F16" s="18"/>
      <c r="G16" s="17"/>
      <c r="H16" s="3"/>
      <c r="I16" s="3"/>
      <c r="J16" s="3"/>
      <c r="K16" s="3"/>
      <c r="L16" s="3"/>
      <c r="M16" s="3"/>
      <c r="N16" s="3"/>
      <c r="O16" s="3"/>
      <c r="P16" s="3"/>
      <c r="Q16" s="3"/>
      <c r="R16" s="3"/>
      <c r="S16" s="3"/>
      <c r="T16" s="3"/>
      <c r="U16" s="3"/>
      <c r="V16" s="3"/>
      <c r="W16" s="3"/>
      <c r="X16" s="3"/>
      <c r="Y16" s="3"/>
      <c r="Z16" s="3"/>
    </row>
    <row r="17">
      <c r="A17" s="5"/>
      <c r="B17" s="5"/>
      <c r="C17" s="5"/>
      <c r="D17" s="5"/>
      <c r="E17" s="5"/>
      <c r="F17" s="5"/>
      <c r="G17" s="5"/>
      <c r="H17" s="3"/>
      <c r="I17" s="3"/>
      <c r="J17" s="3"/>
      <c r="K17" s="3"/>
      <c r="L17" s="3"/>
      <c r="M17" s="3"/>
      <c r="N17" s="3"/>
      <c r="O17" s="3"/>
      <c r="P17" s="3"/>
      <c r="Q17" s="3"/>
      <c r="R17" s="3"/>
      <c r="S17" s="3"/>
      <c r="T17" s="3"/>
      <c r="U17" s="3"/>
      <c r="V17" s="3"/>
      <c r="W17" s="3"/>
      <c r="X17" s="3"/>
      <c r="Y17" s="3"/>
      <c r="Z17" s="3"/>
    </row>
    <row r="18">
      <c r="A18" s="5"/>
      <c r="B18" s="5"/>
      <c r="C18" s="5"/>
      <c r="D18" s="5"/>
      <c r="E18" s="5"/>
      <c r="F18" s="5"/>
      <c r="G18" s="5"/>
      <c r="H18" s="3"/>
      <c r="I18" s="3"/>
      <c r="J18" s="3"/>
      <c r="K18" s="3"/>
      <c r="L18" s="3"/>
      <c r="M18" s="3"/>
      <c r="N18" s="3"/>
      <c r="O18" s="3"/>
      <c r="P18" s="3"/>
      <c r="Q18" s="3"/>
      <c r="R18" s="3"/>
      <c r="S18" s="3"/>
      <c r="T18" s="3"/>
      <c r="U18" s="3"/>
      <c r="V18" s="3"/>
      <c r="W18" s="3"/>
      <c r="X18" s="3"/>
      <c r="Y18" s="3"/>
      <c r="Z18" s="3"/>
    </row>
    <row r="19">
      <c r="A19" s="5"/>
      <c r="B19" s="5"/>
      <c r="C19" s="5"/>
      <c r="D19" s="5"/>
      <c r="E19" s="5"/>
      <c r="F19" s="5"/>
      <c r="G19" s="5"/>
      <c r="H19" s="3"/>
      <c r="I19" s="3"/>
      <c r="J19" s="3"/>
      <c r="K19" s="3"/>
      <c r="L19" s="3"/>
      <c r="M19" s="3"/>
      <c r="N19" s="3"/>
      <c r="O19" s="3"/>
      <c r="P19" s="3"/>
      <c r="Q19" s="3"/>
      <c r="R19" s="3"/>
      <c r="S19" s="3"/>
      <c r="T19" s="3"/>
      <c r="U19" s="3"/>
      <c r="V19" s="3"/>
      <c r="W19" s="3"/>
      <c r="X19" s="3"/>
      <c r="Y19" s="3"/>
      <c r="Z19" s="3"/>
    </row>
    <row r="20">
      <c r="A20" s="5"/>
      <c r="B20" s="5"/>
      <c r="C20" s="5"/>
      <c r="D20" s="5"/>
      <c r="E20" s="5"/>
      <c r="F20" s="5"/>
      <c r="G20" s="5"/>
      <c r="H20" s="3"/>
      <c r="I20" s="3"/>
      <c r="J20" s="3"/>
      <c r="K20" s="3"/>
      <c r="L20" s="3"/>
      <c r="M20" s="3"/>
      <c r="N20" s="3"/>
      <c r="O20" s="3"/>
      <c r="P20" s="3"/>
      <c r="Q20" s="3"/>
      <c r="R20" s="3"/>
      <c r="S20" s="3"/>
      <c r="T20" s="3"/>
      <c r="U20" s="3"/>
      <c r="V20" s="3"/>
      <c r="W20" s="3"/>
      <c r="X20" s="3"/>
      <c r="Y20" s="3"/>
      <c r="Z20" s="3"/>
    </row>
    <row r="21">
      <c r="A21" s="5"/>
      <c r="B21" s="5"/>
      <c r="C21" s="5"/>
      <c r="D21" s="5"/>
      <c r="E21" s="5"/>
      <c r="F21" s="5"/>
      <c r="G21" s="5"/>
      <c r="H21" s="3"/>
      <c r="I21" s="3"/>
      <c r="J21" s="3"/>
      <c r="K21" s="3"/>
      <c r="L21" s="3"/>
      <c r="M21" s="3"/>
      <c r="N21" s="3"/>
      <c r="O21" s="3"/>
      <c r="P21" s="3"/>
      <c r="Q21" s="3"/>
      <c r="R21" s="3"/>
      <c r="S21" s="3"/>
      <c r="T21" s="3"/>
      <c r="U21" s="3"/>
      <c r="V21" s="3"/>
      <c r="W21" s="3"/>
      <c r="X21" s="3"/>
      <c r="Y21" s="3"/>
      <c r="Z21" s="3"/>
    </row>
    <row r="22">
      <c r="A22" s="5"/>
      <c r="B22" s="5"/>
      <c r="C22" s="5"/>
      <c r="D22" s="5"/>
      <c r="E22" s="5"/>
      <c r="F22" s="5"/>
      <c r="G22" s="5"/>
      <c r="H22" s="3"/>
      <c r="I22" s="3"/>
      <c r="J22" s="3"/>
      <c r="K22" s="3"/>
      <c r="L22" s="3"/>
      <c r="M22" s="3"/>
      <c r="N22" s="3"/>
      <c r="O22" s="3"/>
      <c r="P22" s="3"/>
      <c r="Q22" s="3"/>
      <c r="R22" s="3"/>
      <c r="S22" s="3"/>
      <c r="T22" s="3"/>
      <c r="U22" s="3"/>
      <c r="V22" s="3"/>
      <c r="W22" s="3"/>
      <c r="X22" s="3"/>
      <c r="Y22" s="3"/>
      <c r="Z22" s="3"/>
    </row>
    <row r="23">
      <c r="A23" s="5"/>
      <c r="B23" s="5"/>
      <c r="C23" s="5"/>
      <c r="D23" s="5"/>
      <c r="E23" s="5"/>
      <c r="F23" s="5"/>
      <c r="G23" s="5"/>
      <c r="H23" s="3"/>
      <c r="I23" s="3"/>
      <c r="J23" s="3"/>
      <c r="K23" s="3"/>
      <c r="L23" s="3"/>
      <c r="M23" s="3"/>
      <c r="N23" s="3"/>
      <c r="O23" s="3"/>
      <c r="P23" s="3"/>
      <c r="Q23" s="3"/>
      <c r="R23" s="3"/>
      <c r="S23" s="3"/>
      <c r="T23" s="3"/>
      <c r="U23" s="3"/>
      <c r="V23" s="3"/>
      <c r="W23" s="3"/>
      <c r="X23" s="3"/>
      <c r="Y23" s="3"/>
      <c r="Z23" s="3"/>
    </row>
    <row r="24">
      <c r="A24" s="5"/>
      <c r="B24" s="5"/>
      <c r="C24" s="5"/>
      <c r="D24" s="5"/>
      <c r="E24" s="5"/>
      <c r="F24" s="5"/>
      <c r="G24" s="5"/>
      <c r="H24" s="3"/>
      <c r="I24" s="3"/>
      <c r="J24" s="3"/>
      <c r="K24" s="3"/>
      <c r="L24" s="3"/>
      <c r="M24" s="3"/>
      <c r="N24" s="3"/>
      <c r="O24" s="3"/>
      <c r="P24" s="3"/>
      <c r="Q24" s="3"/>
      <c r="R24" s="3"/>
      <c r="S24" s="3"/>
      <c r="T24" s="3"/>
      <c r="U24" s="3"/>
      <c r="V24" s="3"/>
      <c r="W24" s="3"/>
      <c r="X24" s="3"/>
      <c r="Y24" s="3"/>
      <c r="Z24" s="3"/>
    </row>
    <row r="25">
      <c r="A25" s="5"/>
      <c r="B25" s="5"/>
      <c r="C25" s="5"/>
      <c r="D25" s="5"/>
      <c r="E25" s="5"/>
      <c r="F25" s="5"/>
      <c r="G25" s="5"/>
      <c r="H25" s="3"/>
      <c r="I25" s="3"/>
      <c r="J25" s="3"/>
      <c r="K25" s="3"/>
      <c r="L25" s="3"/>
      <c r="M25" s="3"/>
      <c r="N25" s="3"/>
      <c r="O25" s="3"/>
      <c r="P25" s="3"/>
      <c r="Q25" s="3"/>
      <c r="R25" s="3"/>
      <c r="S25" s="3"/>
      <c r="T25" s="3"/>
      <c r="U25" s="3"/>
      <c r="V25" s="3"/>
      <c r="W25" s="3"/>
      <c r="X25" s="3"/>
      <c r="Y25" s="3"/>
      <c r="Z25" s="3"/>
    </row>
    <row r="26">
      <c r="A26" s="5"/>
      <c r="B26" s="5"/>
      <c r="C26" s="5"/>
      <c r="D26" s="5"/>
      <c r="E26" s="5"/>
      <c r="F26" s="5"/>
      <c r="G26" s="5"/>
      <c r="H26" s="3"/>
      <c r="I26" s="3"/>
      <c r="J26" s="3"/>
      <c r="K26" s="3"/>
      <c r="L26" s="3"/>
      <c r="M26" s="3"/>
      <c r="N26" s="3"/>
      <c r="O26" s="3"/>
      <c r="P26" s="3"/>
      <c r="Q26" s="3"/>
      <c r="R26" s="3"/>
      <c r="S26" s="3"/>
      <c r="T26" s="3"/>
      <c r="U26" s="3"/>
      <c r="V26" s="3"/>
      <c r="W26" s="3"/>
      <c r="X26" s="3"/>
      <c r="Y26" s="3"/>
      <c r="Z26" s="3"/>
    </row>
    <row r="27">
      <c r="A27" s="5"/>
      <c r="B27" s="5"/>
      <c r="C27" s="5"/>
      <c r="D27" s="5"/>
      <c r="E27" s="5"/>
      <c r="F27" s="5"/>
      <c r="G27" s="5"/>
      <c r="H27" s="3"/>
      <c r="I27" s="3"/>
      <c r="J27" s="3"/>
      <c r="K27" s="3"/>
      <c r="L27" s="3"/>
      <c r="M27" s="3"/>
      <c r="N27" s="3"/>
      <c r="O27" s="3"/>
      <c r="P27" s="3"/>
      <c r="Q27" s="3"/>
      <c r="R27" s="3"/>
      <c r="S27" s="3"/>
      <c r="T27" s="3"/>
      <c r="U27" s="3"/>
      <c r="V27" s="3"/>
      <c r="W27" s="3"/>
      <c r="X27" s="3"/>
      <c r="Y27" s="3"/>
      <c r="Z27" s="3"/>
    </row>
    <row r="28">
      <c r="A28" s="5"/>
      <c r="B28" s="5"/>
      <c r="C28" s="5"/>
      <c r="D28" s="5"/>
      <c r="E28" s="5"/>
      <c r="F28" s="5"/>
      <c r="G28" s="5"/>
      <c r="H28" s="3"/>
      <c r="I28" s="3"/>
      <c r="J28" s="3"/>
      <c r="K28" s="3"/>
      <c r="L28" s="3"/>
      <c r="M28" s="3"/>
      <c r="N28" s="3"/>
      <c r="O28" s="3"/>
      <c r="P28" s="3"/>
      <c r="Q28" s="3"/>
      <c r="R28" s="3"/>
      <c r="S28" s="3"/>
      <c r="T28" s="3"/>
      <c r="U28" s="3"/>
      <c r="V28" s="3"/>
      <c r="W28" s="3"/>
      <c r="X28" s="3"/>
      <c r="Y28" s="3"/>
      <c r="Z28" s="3"/>
    </row>
    <row r="29">
      <c r="A29" s="5"/>
      <c r="B29" s="5"/>
      <c r="C29" s="5"/>
      <c r="D29" s="5"/>
      <c r="E29" s="5"/>
      <c r="F29" s="5"/>
      <c r="G29" s="5"/>
      <c r="H29" s="3"/>
      <c r="I29" s="3"/>
      <c r="J29" s="3"/>
      <c r="K29" s="3"/>
      <c r="L29" s="3"/>
      <c r="M29" s="3"/>
      <c r="N29" s="3"/>
      <c r="O29" s="3"/>
      <c r="P29" s="3"/>
      <c r="Q29" s="3"/>
      <c r="R29" s="3"/>
      <c r="S29" s="3"/>
      <c r="T29" s="3"/>
      <c r="U29" s="3"/>
      <c r="V29" s="3"/>
      <c r="W29" s="3"/>
      <c r="X29" s="3"/>
      <c r="Y29" s="3"/>
      <c r="Z29" s="3"/>
    </row>
    <row r="30">
      <c r="A30" s="5"/>
      <c r="B30" s="5"/>
      <c r="C30" s="5"/>
      <c r="D30" s="5"/>
      <c r="E30" s="5"/>
      <c r="F30" s="5"/>
      <c r="G30" s="5"/>
      <c r="H30" s="3"/>
      <c r="I30" s="3"/>
      <c r="J30" s="3"/>
      <c r="K30" s="3"/>
      <c r="L30" s="3"/>
      <c r="M30" s="3"/>
      <c r="N30" s="3"/>
      <c r="O30" s="3"/>
      <c r="P30" s="3"/>
      <c r="Q30" s="3"/>
      <c r="R30" s="3"/>
      <c r="S30" s="3"/>
      <c r="T30" s="3"/>
      <c r="U30" s="3"/>
      <c r="V30" s="3"/>
      <c r="W30" s="3"/>
      <c r="X30" s="3"/>
      <c r="Y30" s="3"/>
      <c r="Z30" s="3"/>
    </row>
    <row r="31">
      <c r="A31" s="5"/>
      <c r="B31" s="5"/>
      <c r="C31" s="5"/>
      <c r="D31" s="5"/>
      <c r="E31" s="5"/>
      <c r="F31" s="5"/>
      <c r="G31" s="5"/>
      <c r="H31" s="3"/>
      <c r="I31" s="3"/>
      <c r="J31" s="3"/>
      <c r="K31" s="3"/>
      <c r="L31" s="3"/>
      <c r="M31" s="3"/>
      <c r="N31" s="3"/>
      <c r="O31" s="3"/>
      <c r="P31" s="3"/>
      <c r="Q31" s="3"/>
      <c r="R31" s="3"/>
      <c r="S31" s="3"/>
      <c r="T31" s="3"/>
      <c r="U31" s="3"/>
      <c r="V31" s="3"/>
      <c r="W31" s="3"/>
      <c r="X31" s="3"/>
      <c r="Y31" s="3"/>
      <c r="Z31" s="3"/>
    </row>
    <row r="32">
      <c r="A32" s="5"/>
      <c r="B32" s="5"/>
      <c r="C32" s="5"/>
      <c r="D32" s="5"/>
      <c r="E32" s="5"/>
      <c r="F32" s="5"/>
      <c r="G32" s="5"/>
      <c r="H32" s="3"/>
      <c r="I32" s="3"/>
      <c r="J32" s="3"/>
      <c r="K32" s="3"/>
      <c r="L32" s="3"/>
      <c r="M32" s="3"/>
      <c r="N32" s="3"/>
      <c r="O32" s="3"/>
      <c r="P32" s="3"/>
      <c r="Q32" s="3"/>
      <c r="R32" s="3"/>
      <c r="S32" s="3"/>
      <c r="T32" s="3"/>
      <c r="U32" s="3"/>
      <c r="V32" s="3"/>
      <c r="W32" s="3"/>
      <c r="X32" s="3"/>
      <c r="Y32" s="3"/>
      <c r="Z32" s="3"/>
    </row>
    <row r="33">
      <c r="A33" s="5"/>
      <c r="B33" s="5"/>
      <c r="C33" s="5"/>
      <c r="D33" s="5"/>
      <c r="E33" s="5"/>
      <c r="F33" s="5"/>
      <c r="G33" s="5"/>
      <c r="H33" s="3"/>
      <c r="I33" s="3"/>
      <c r="J33" s="3"/>
      <c r="K33" s="3"/>
      <c r="L33" s="3"/>
      <c r="M33" s="3"/>
      <c r="N33" s="3"/>
      <c r="O33" s="3"/>
      <c r="P33" s="3"/>
      <c r="Q33" s="3"/>
      <c r="R33" s="3"/>
      <c r="S33" s="3"/>
      <c r="T33" s="3"/>
      <c r="U33" s="3"/>
      <c r="V33" s="3"/>
      <c r="W33" s="3"/>
      <c r="X33" s="3"/>
      <c r="Y33" s="3"/>
      <c r="Z33" s="3"/>
    </row>
    <row r="34">
      <c r="A34" s="5"/>
      <c r="B34" s="5"/>
      <c r="C34" s="5"/>
      <c r="D34" s="5"/>
      <c r="E34" s="5"/>
      <c r="F34" s="5"/>
      <c r="G34" s="5"/>
      <c r="H34" s="3"/>
      <c r="I34" s="3"/>
      <c r="J34" s="3"/>
      <c r="K34" s="3"/>
      <c r="L34" s="3"/>
      <c r="M34" s="3"/>
      <c r="N34" s="3"/>
      <c r="O34" s="3"/>
      <c r="P34" s="3"/>
      <c r="Q34" s="3"/>
      <c r="R34" s="3"/>
      <c r="S34" s="3"/>
      <c r="T34" s="3"/>
      <c r="U34" s="3"/>
      <c r="V34" s="3"/>
      <c r="W34" s="3"/>
      <c r="X34" s="3"/>
      <c r="Y34" s="3"/>
      <c r="Z34" s="3"/>
    </row>
    <row r="35">
      <c r="A35" s="5"/>
      <c r="B35" s="5"/>
      <c r="C35" s="5"/>
      <c r="D35" s="5"/>
      <c r="E35" s="5"/>
      <c r="F35" s="5"/>
      <c r="G35" s="5"/>
      <c r="H35" s="3"/>
      <c r="I35" s="3"/>
      <c r="J35" s="3"/>
      <c r="K35" s="3"/>
      <c r="L35" s="3"/>
      <c r="M35" s="3"/>
      <c r="N35" s="3"/>
      <c r="O35" s="3"/>
      <c r="P35" s="3"/>
      <c r="Q35" s="3"/>
      <c r="R35" s="3"/>
      <c r="S35" s="3"/>
      <c r="T35" s="3"/>
      <c r="U35" s="3"/>
      <c r="V35" s="3"/>
      <c r="W35" s="3"/>
      <c r="X35" s="3"/>
      <c r="Y35" s="3"/>
      <c r="Z35" s="3"/>
    </row>
    <row r="36">
      <c r="A36" s="5"/>
      <c r="B36" s="5"/>
      <c r="C36" s="5"/>
      <c r="D36" s="5"/>
      <c r="E36" s="5"/>
      <c r="F36" s="5"/>
      <c r="G36" s="5"/>
      <c r="H36" s="3"/>
      <c r="I36" s="3"/>
      <c r="J36" s="3"/>
      <c r="K36" s="3"/>
      <c r="L36" s="3"/>
      <c r="M36" s="3"/>
      <c r="N36" s="3"/>
      <c r="O36" s="3"/>
      <c r="P36" s="3"/>
      <c r="Q36" s="3"/>
      <c r="R36" s="3"/>
      <c r="S36" s="3"/>
      <c r="T36" s="3"/>
      <c r="U36" s="3"/>
      <c r="V36" s="3"/>
      <c r="W36" s="3"/>
      <c r="X36" s="3"/>
      <c r="Y36" s="3"/>
      <c r="Z36" s="3"/>
    </row>
    <row r="37">
      <c r="A37" s="5"/>
      <c r="B37" s="5"/>
      <c r="C37" s="5"/>
      <c r="D37" s="5"/>
      <c r="E37" s="5"/>
      <c r="F37" s="5"/>
      <c r="G37" s="5"/>
      <c r="H37" s="3"/>
      <c r="I37" s="3"/>
      <c r="J37" s="3"/>
      <c r="K37" s="3"/>
      <c r="L37" s="3"/>
      <c r="M37" s="3"/>
      <c r="N37" s="3"/>
      <c r="O37" s="3"/>
      <c r="P37" s="3"/>
      <c r="Q37" s="3"/>
      <c r="R37" s="3"/>
      <c r="S37" s="3"/>
      <c r="T37" s="3"/>
      <c r="U37" s="3"/>
      <c r="V37" s="3"/>
      <c r="W37" s="3"/>
      <c r="X37" s="3"/>
      <c r="Y37" s="3"/>
      <c r="Z37" s="3"/>
    </row>
    <row r="38">
      <c r="A38" s="5"/>
      <c r="B38" s="5"/>
      <c r="C38" s="5"/>
      <c r="D38" s="5"/>
      <c r="E38" s="5"/>
      <c r="F38" s="5"/>
      <c r="G38" s="5"/>
      <c r="H38" s="3"/>
      <c r="I38" s="3"/>
      <c r="J38" s="3"/>
      <c r="K38" s="3"/>
      <c r="L38" s="3"/>
      <c r="M38" s="3"/>
      <c r="N38" s="3"/>
      <c r="O38" s="3"/>
      <c r="P38" s="3"/>
      <c r="Q38" s="3"/>
      <c r="R38" s="3"/>
      <c r="S38" s="3"/>
      <c r="T38" s="3"/>
      <c r="U38" s="3"/>
      <c r="V38" s="3"/>
      <c r="W38" s="3"/>
      <c r="X38" s="3"/>
      <c r="Y38" s="3"/>
      <c r="Z38" s="3"/>
    </row>
  </sheetData>
  <mergeCells count="5">
    <mergeCell ref="B1:H1"/>
    <mergeCell ref="D3:G3"/>
    <mergeCell ref="D4:G16"/>
    <mergeCell ref="A10:B10"/>
    <mergeCell ref="A11:B1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523</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524</v>
      </c>
      <c r="C3" s="9"/>
      <c r="D3" s="9"/>
      <c r="E3" s="9"/>
      <c r="F3" s="9"/>
      <c r="G3" s="9"/>
      <c r="H3" s="9"/>
      <c r="I3" s="10"/>
      <c r="J3" s="3"/>
      <c r="K3" s="3"/>
      <c r="L3" s="3"/>
      <c r="M3" s="3"/>
      <c r="N3" s="3"/>
      <c r="O3" s="3"/>
      <c r="P3" s="3"/>
      <c r="Q3" s="3"/>
      <c r="R3" s="3"/>
      <c r="S3" s="3"/>
      <c r="T3" s="3"/>
      <c r="U3" s="3"/>
      <c r="V3" s="3"/>
      <c r="W3" s="3"/>
      <c r="X3" s="3"/>
      <c r="Y3" s="3"/>
      <c r="Z3" s="3"/>
      <c r="AA3" s="3"/>
      <c r="AB3" s="3"/>
    </row>
    <row r="4" ht="36.0" customHeight="1">
      <c r="A4" s="6" t="s">
        <v>2</v>
      </c>
      <c r="B4" s="7">
        <f>COUNTA(D14:D29)</f>
        <v>16</v>
      </c>
      <c r="C4" s="8" t="s">
        <v>10</v>
      </c>
      <c r="D4" s="9"/>
      <c r="E4" s="10"/>
      <c r="F4" s="42" t="s">
        <v>3</v>
      </c>
      <c r="G4" s="9"/>
      <c r="H4" s="9"/>
      <c r="I4" s="10"/>
      <c r="J4" s="3"/>
      <c r="K4" s="3"/>
      <c r="L4" s="3"/>
      <c r="M4" s="3"/>
      <c r="N4" s="3"/>
      <c r="O4" s="3"/>
      <c r="P4" s="3"/>
      <c r="Q4" s="3"/>
      <c r="R4" s="3"/>
      <c r="S4" s="3"/>
      <c r="T4" s="3"/>
      <c r="U4" s="3"/>
      <c r="V4" s="3"/>
      <c r="W4" s="3"/>
      <c r="X4" s="3"/>
      <c r="Y4" s="3"/>
      <c r="Z4" s="3"/>
      <c r="AA4" s="3"/>
      <c r="AB4" s="3"/>
    </row>
    <row r="5" ht="36.0" customHeight="1">
      <c r="A5" s="6" t="s">
        <v>4</v>
      </c>
      <c r="B5" s="7">
        <f>COUNTIFS(D14:D29, "&lt;&gt;", G14:G29, "&lt;&gt;", G14:G29, "&lt;&gt;Pending")</f>
        <v>13</v>
      </c>
      <c r="C5" s="11" t="s">
        <v>525</v>
      </c>
      <c r="D5" s="12"/>
      <c r="E5" s="13"/>
      <c r="F5" s="43" t="s">
        <v>526</v>
      </c>
      <c r="G5" s="12"/>
      <c r="H5" s="12"/>
      <c r="I5" s="13"/>
      <c r="J5" s="3"/>
      <c r="K5" s="3"/>
      <c r="L5" s="3"/>
      <c r="M5" s="3"/>
      <c r="N5" s="3"/>
      <c r="O5" s="3"/>
      <c r="P5" s="3"/>
      <c r="Q5" s="3"/>
      <c r="R5" s="3"/>
      <c r="S5" s="3"/>
      <c r="T5" s="3"/>
      <c r="U5" s="3"/>
      <c r="V5" s="3"/>
      <c r="W5" s="3"/>
      <c r="X5" s="3"/>
      <c r="Y5" s="3"/>
      <c r="Z5" s="3"/>
      <c r="AA5" s="3"/>
      <c r="AB5" s="3"/>
    </row>
    <row r="6" ht="36.0" customHeight="1">
      <c r="A6" s="6" t="s">
        <v>6</v>
      </c>
      <c r="B6" s="7">
        <f>B4-B5</f>
        <v>3</v>
      </c>
      <c r="C6" s="14"/>
      <c r="E6" s="15"/>
      <c r="F6" s="14"/>
      <c r="I6" s="15"/>
      <c r="J6" s="3"/>
      <c r="K6" s="3"/>
      <c r="L6" s="3"/>
      <c r="M6" s="3"/>
      <c r="N6" s="3"/>
      <c r="O6" s="3"/>
      <c r="P6" s="3"/>
      <c r="Q6" s="3"/>
      <c r="R6" s="3"/>
      <c r="S6" s="3"/>
      <c r="T6" s="3"/>
      <c r="U6" s="3"/>
      <c r="V6" s="3"/>
      <c r="W6" s="3"/>
      <c r="X6" s="3"/>
      <c r="Y6" s="3"/>
      <c r="Z6" s="3"/>
      <c r="AA6" s="3"/>
      <c r="AB6" s="3"/>
    </row>
    <row r="7" ht="36.0" customHeight="1">
      <c r="A7" s="6" t="s">
        <v>7</v>
      </c>
      <c r="B7" s="7">
        <f t="shared" ref="B7:B8" si="1">COUNTIF($G$14:$G29,A7)</f>
        <v>4</v>
      </c>
      <c r="C7" s="14"/>
      <c r="E7" s="15"/>
      <c r="F7" s="14"/>
      <c r="I7" s="15"/>
      <c r="J7" s="3"/>
      <c r="K7" s="3"/>
      <c r="L7" s="3"/>
      <c r="M7" s="3"/>
      <c r="N7" s="3"/>
      <c r="O7" s="3"/>
      <c r="P7" s="3"/>
      <c r="Q7" s="3"/>
      <c r="R7" s="3"/>
      <c r="S7" s="3"/>
      <c r="T7" s="3"/>
      <c r="U7" s="3"/>
      <c r="V7" s="3"/>
      <c r="W7" s="3"/>
      <c r="X7" s="3"/>
      <c r="Y7" s="3"/>
      <c r="Z7" s="3"/>
      <c r="AA7" s="3"/>
      <c r="AB7" s="3"/>
    </row>
    <row r="8" ht="36.0" customHeight="1">
      <c r="A8" s="6" t="s">
        <v>8</v>
      </c>
      <c r="B8" s="7">
        <f t="shared" si="1"/>
        <v>9</v>
      </c>
      <c r="C8" s="14"/>
      <c r="E8" s="15"/>
      <c r="F8" s="14"/>
      <c r="I8" s="15"/>
      <c r="J8" s="3"/>
      <c r="K8" s="3"/>
      <c r="L8" s="3"/>
      <c r="M8" s="3"/>
      <c r="N8" s="3"/>
      <c r="O8" s="3"/>
      <c r="P8" s="3"/>
      <c r="Q8" s="3"/>
      <c r="R8" s="3"/>
      <c r="S8" s="3"/>
      <c r="T8" s="3"/>
      <c r="U8" s="3"/>
      <c r="V8" s="3"/>
      <c r="W8" s="3"/>
      <c r="X8" s="3"/>
      <c r="Y8" s="3"/>
      <c r="Z8" s="3"/>
      <c r="AA8" s="3"/>
      <c r="AB8" s="3"/>
    </row>
    <row r="9" ht="36.0" customHeight="1">
      <c r="A9" s="6" t="s">
        <v>184</v>
      </c>
      <c r="B9" s="23">
        <f>B7/B5</f>
        <v>0.3076923077</v>
      </c>
      <c r="C9" s="14"/>
      <c r="E9" s="15"/>
      <c r="F9" s="14"/>
      <c r="I9" s="15"/>
      <c r="J9" s="3"/>
      <c r="K9" s="3"/>
      <c r="L9" s="3"/>
      <c r="M9" s="3"/>
      <c r="N9" s="3"/>
      <c r="O9" s="3"/>
      <c r="P9" s="3"/>
      <c r="Q9" s="3"/>
      <c r="R9" s="3"/>
      <c r="S9" s="3"/>
      <c r="T9" s="3"/>
      <c r="U9" s="3"/>
      <c r="V9" s="3"/>
      <c r="W9" s="3"/>
      <c r="X9" s="3"/>
      <c r="Y9" s="3"/>
      <c r="Z9" s="3"/>
      <c r="AA9" s="3"/>
      <c r="AB9" s="3"/>
    </row>
    <row r="10" ht="36.0" customHeight="1">
      <c r="A10" s="6" t="s">
        <v>9</v>
      </c>
      <c r="B10" s="7">
        <f>SUM(H14:H29)</f>
        <v>9</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44"/>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527</v>
      </c>
      <c r="D12" s="6" t="s">
        <v>186</v>
      </c>
      <c r="E12" s="6" t="s">
        <v>187</v>
      </c>
      <c r="F12" s="45"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16</v>
      </c>
      <c r="B13" s="47" t="s">
        <v>17</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528</v>
      </c>
      <c r="B14" s="19" t="s">
        <v>529</v>
      </c>
      <c r="C14" s="19" t="s">
        <v>195</v>
      </c>
      <c r="D14" s="19" t="s">
        <v>530</v>
      </c>
      <c r="E14" s="19" t="s">
        <v>531</v>
      </c>
      <c r="F14" s="48" t="s">
        <v>532</v>
      </c>
      <c r="G14" s="19" t="s">
        <v>8</v>
      </c>
      <c r="H14" s="19">
        <v>1.0</v>
      </c>
      <c r="I14" s="19" t="s">
        <v>533</v>
      </c>
      <c r="J14" s="3"/>
      <c r="K14" s="3"/>
      <c r="L14" s="3"/>
      <c r="M14" s="3"/>
      <c r="N14" s="3"/>
      <c r="O14" s="3"/>
      <c r="P14" s="3"/>
      <c r="Q14" s="3"/>
      <c r="R14" s="3"/>
      <c r="S14" s="3"/>
      <c r="T14" s="3"/>
      <c r="U14" s="3"/>
      <c r="V14" s="3"/>
      <c r="W14" s="3"/>
      <c r="X14" s="3"/>
      <c r="Y14" s="3"/>
      <c r="Z14" s="3"/>
      <c r="AA14" s="3"/>
      <c r="AB14" s="3"/>
    </row>
    <row r="15">
      <c r="A15" s="19" t="s">
        <v>534</v>
      </c>
      <c r="B15" s="19" t="s">
        <v>535</v>
      </c>
      <c r="C15" s="19" t="s">
        <v>195</v>
      </c>
      <c r="D15" s="19" t="s">
        <v>536</v>
      </c>
      <c r="E15" s="19" t="s">
        <v>537</v>
      </c>
      <c r="F15" s="48" t="s">
        <v>538</v>
      </c>
      <c r="G15" s="19" t="s">
        <v>8</v>
      </c>
      <c r="H15" s="19">
        <v>1.0</v>
      </c>
      <c r="I15" s="19" t="s">
        <v>539</v>
      </c>
      <c r="J15" s="3"/>
      <c r="K15" s="3"/>
      <c r="L15" s="3"/>
      <c r="M15" s="3"/>
      <c r="N15" s="3"/>
      <c r="O15" s="3"/>
      <c r="P15" s="3"/>
      <c r="Q15" s="3"/>
      <c r="R15" s="3"/>
      <c r="S15" s="3"/>
      <c r="T15" s="3"/>
      <c r="U15" s="3"/>
      <c r="V15" s="3"/>
      <c r="W15" s="3"/>
      <c r="X15" s="3"/>
      <c r="Y15" s="3"/>
      <c r="Z15" s="3"/>
      <c r="AA15" s="3"/>
      <c r="AB15" s="3"/>
    </row>
    <row r="16">
      <c r="A16" s="19" t="s">
        <v>540</v>
      </c>
      <c r="B16" s="19" t="s">
        <v>541</v>
      </c>
      <c r="C16" s="19" t="s">
        <v>195</v>
      </c>
      <c r="D16" s="19" t="s">
        <v>542</v>
      </c>
      <c r="E16" s="19" t="s">
        <v>543</v>
      </c>
      <c r="F16" s="48" t="s">
        <v>544</v>
      </c>
      <c r="G16" s="19" t="s">
        <v>8</v>
      </c>
      <c r="H16" s="19">
        <v>1.0</v>
      </c>
      <c r="I16" s="19" t="s">
        <v>539</v>
      </c>
      <c r="J16" s="3"/>
      <c r="K16" s="3"/>
      <c r="L16" s="3"/>
      <c r="M16" s="3"/>
      <c r="N16" s="3"/>
      <c r="O16" s="3"/>
      <c r="P16" s="3"/>
      <c r="Q16" s="3"/>
      <c r="R16" s="3"/>
      <c r="S16" s="3"/>
      <c r="T16" s="3"/>
      <c r="U16" s="3"/>
      <c r="V16" s="3"/>
      <c r="W16" s="3"/>
      <c r="X16" s="3"/>
      <c r="Y16" s="3"/>
      <c r="Z16" s="3"/>
      <c r="AA16" s="3"/>
      <c r="AB16" s="3"/>
    </row>
    <row r="17">
      <c r="A17" s="19" t="s">
        <v>545</v>
      </c>
      <c r="B17" s="19" t="s">
        <v>546</v>
      </c>
      <c r="C17" s="19" t="s">
        <v>201</v>
      </c>
      <c r="D17" s="19" t="s">
        <v>547</v>
      </c>
      <c r="E17" s="19" t="s">
        <v>548</v>
      </c>
      <c r="F17" s="48" t="s">
        <v>549</v>
      </c>
      <c r="G17" s="19" t="s">
        <v>8</v>
      </c>
      <c r="H17" s="19">
        <v>1.0</v>
      </c>
      <c r="I17" s="19" t="s">
        <v>539</v>
      </c>
      <c r="J17" s="3"/>
      <c r="K17" s="3"/>
      <c r="L17" s="3"/>
      <c r="M17" s="3"/>
      <c r="N17" s="3"/>
      <c r="O17" s="3"/>
      <c r="P17" s="3"/>
      <c r="Q17" s="3"/>
      <c r="R17" s="3"/>
      <c r="S17" s="3"/>
      <c r="T17" s="3"/>
      <c r="U17" s="3"/>
      <c r="V17" s="3"/>
      <c r="W17" s="3"/>
      <c r="X17" s="3"/>
      <c r="Y17" s="3"/>
      <c r="Z17" s="3"/>
      <c r="AA17" s="3"/>
      <c r="AB17" s="3"/>
    </row>
    <row r="18">
      <c r="A18" s="19" t="s">
        <v>550</v>
      </c>
      <c r="B18" s="19" t="s">
        <v>551</v>
      </c>
      <c r="C18" s="19" t="s">
        <v>201</v>
      </c>
      <c r="D18" s="19" t="s">
        <v>552</v>
      </c>
      <c r="E18" s="19" t="s">
        <v>553</v>
      </c>
      <c r="F18" s="48" t="s">
        <v>554</v>
      </c>
      <c r="G18" s="19" t="s">
        <v>8</v>
      </c>
      <c r="H18" s="19">
        <v>1.0</v>
      </c>
      <c r="I18" s="19" t="s">
        <v>539</v>
      </c>
      <c r="J18" s="3"/>
      <c r="K18" s="3"/>
      <c r="L18" s="3"/>
      <c r="M18" s="3"/>
      <c r="N18" s="3"/>
      <c r="O18" s="3"/>
      <c r="P18" s="3"/>
      <c r="Q18" s="3"/>
      <c r="R18" s="3"/>
      <c r="S18" s="3"/>
      <c r="T18" s="3"/>
      <c r="U18" s="3"/>
      <c r="V18" s="3"/>
      <c r="W18" s="3"/>
      <c r="X18" s="3"/>
      <c r="Y18" s="3"/>
      <c r="Z18" s="3"/>
      <c r="AA18" s="3"/>
      <c r="AB18" s="3"/>
    </row>
    <row r="19">
      <c r="A19" s="19" t="s">
        <v>555</v>
      </c>
      <c r="B19" s="19" t="s">
        <v>556</v>
      </c>
      <c r="C19" s="19" t="s">
        <v>195</v>
      </c>
      <c r="D19" s="19" t="s">
        <v>557</v>
      </c>
      <c r="E19" s="19" t="s">
        <v>558</v>
      </c>
      <c r="F19" s="48" t="s">
        <v>559</v>
      </c>
      <c r="G19" s="19" t="s">
        <v>8</v>
      </c>
      <c r="H19" s="19">
        <v>1.0</v>
      </c>
      <c r="I19" s="19" t="s">
        <v>560</v>
      </c>
      <c r="J19" s="3"/>
      <c r="K19" s="3"/>
      <c r="L19" s="3"/>
      <c r="M19" s="3"/>
      <c r="N19" s="3"/>
      <c r="O19" s="3"/>
      <c r="P19" s="3"/>
      <c r="Q19" s="3"/>
      <c r="R19" s="3"/>
      <c r="S19" s="3"/>
      <c r="T19" s="3"/>
      <c r="U19" s="3"/>
      <c r="V19" s="3"/>
      <c r="W19" s="3"/>
      <c r="X19" s="3"/>
      <c r="Y19" s="3"/>
      <c r="Z19" s="3"/>
      <c r="AA19" s="3"/>
      <c r="AB19" s="3"/>
    </row>
    <row r="20">
      <c r="A20" s="19" t="s">
        <v>561</v>
      </c>
      <c r="B20" s="19" t="s">
        <v>562</v>
      </c>
      <c r="C20" s="19" t="s">
        <v>195</v>
      </c>
      <c r="D20" s="19" t="s">
        <v>563</v>
      </c>
      <c r="E20" s="19" t="s">
        <v>564</v>
      </c>
      <c r="F20" s="48" t="s">
        <v>565</v>
      </c>
      <c r="G20" s="19" t="s">
        <v>7</v>
      </c>
      <c r="H20" s="19"/>
      <c r="I20" s="19" t="s">
        <v>566</v>
      </c>
      <c r="J20" s="3"/>
      <c r="K20" s="3"/>
      <c r="L20" s="3"/>
      <c r="M20" s="3"/>
      <c r="N20" s="3"/>
      <c r="O20" s="3"/>
      <c r="P20" s="3"/>
      <c r="Q20" s="3"/>
      <c r="R20" s="3"/>
      <c r="S20" s="3"/>
      <c r="T20" s="3"/>
      <c r="U20" s="3"/>
      <c r="V20" s="3"/>
      <c r="W20" s="3"/>
      <c r="X20" s="3"/>
      <c r="Y20" s="3"/>
      <c r="Z20" s="3"/>
      <c r="AA20" s="3"/>
      <c r="AB20" s="3"/>
    </row>
    <row r="21">
      <c r="A21" s="19" t="s">
        <v>567</v>
      </c>
      <c r="B21" s="19" t="s">
        <v>568</v>
      </c>
      <c r="C21" s="19" t="s">
        <v>201</v>
      </c>
      <c r="D21" s="19" t="s">
        <v>569</v>
      </c>
      <c r="E21" s="19" t="s">
        <v>570</v>
      </c>
      <c r="F21" s="48" t="s">
        <v>571</v>
      </c>
      <c r="G21" s="19" t="s">
        <v>7</v>
      </c>
      <c r="H21" s="19"/>
      <c r="I21" s="19" t="s">
        <v>566</v>
      </c>
      <c r="J21" s="3"/>
      <c r="K21" s="3"/>
      <c r="L21" s="3"/>
      <c r="M21" s="3"/>
      <c r="N21" s="3"/>
      <c r="O21" s="3"/>
      <c r="P21" s="3"/>
      <c r="Q21" s="3"/>
      <c r="R21" s="3"/>
      <c r="S21" s="3"/>
      <c r="T21" s="3"/>
      <c r="U21" s="3"/>
      <c r="V21" s="3"/>
      <c r="W21" s="3"/>
      <c r="X21" s="3"/>
      <c r="Y21" s="3"/>
      <c r="Z21" s="3"/>
      <c r="AA21" s="3"/>
      <c r="AB21" s="3"/>
    </row>
    <row r="22">
      <c r="A22" s="19" t="s">
        <v>572</v>
      </c>
      <c r="B22" s="19" t="s">
        <v>573</v>
      </c>
      <c r="C22" s="19" t="s">
        <v>201</v>
      </c>
      <c r="D22" s="19" t="s">
        <v>574</v>
      </c>
      <c r="E22" s="19" t="s">
        <v>575</v>
      </c>
      <c r="F22" s="48" t="s">
        <v>576</v>
      </c>
      <c r="G22" s="19" t="s">
        <v>6</v>
      </c>
      <c r="H22" s="19"/>
      <c r="I22" s="19" t="s">
        <v>577</v>
      </c>
      <c r="J22" s="3"/>
      <c r="K22" s="3"/>
      <c r="L22" s="3"/>
      <c r="M22" s="3"/>
      <c r="N22" s="3"/>
      <c r="O22" s="3"/>
      <c r="P22" s="3"/>
      <c r="Q22" s="3"/>
      <c r="R22" s="3"/>
      <c r="S22" s="3"/>
      <c r="T22" s="3"/>
      <c r="U22" s="3"/>
      <c r="V22" s="3"/>
      <c r="W22" s="3"/>
      <c r="X22" s="3"/>
      <c r="Y22" s="3"/>
      <c r="Z22" s="3"/>
      <c r="AA22" s="3"/>
      <c r="AB22" s="3"/>
    </row>
    <row r="23">
      <c r="A23" s="19" t="s">
        <v>578</v>
      </c>
      <c r="B23" s="19" t="s">
        <v>579</v>
      </c>
      <c r="C23" s="19" t="s">
        <v>201</v>
      </c>
      <c r="D23" s="19" t="s">
        <v>580</v>
      </c>
      <c r="E23" s="49" t="s">
        <v>581</v>
      </c>
      <c r="F23" s="48" t="s">
        <v>582</v>
      </c>
      <c r="G23" s="19" t="s">
        <v>6</v>
      </c>
      <c r="H23" s="19"/>
      <c r="I23" s="19" t="s">
        <v>577</v>
      </c>
      <c r="J23" s="3"/>
      <c r="K23" s="3"/>
      <c r="L23" s="3"/>
      <c r="M23" s="3"/>
      <c r="N23" s="3"/>
      <c r="O23" s="3"/>
      <c r="P23" s="3"/>
      <c r="Q23" s="3"/>
      <c r="R23" s="3"/>
      <c r="S23" s="3"/>
      <c r="T23" s="3"/>
      <c r="U23" s="3"/>
      <c r="V23" s="3"/>
      <c r="W23" s="3"/>
      <c r="X23" s="3"/>
      <c r="Y23" s="3"/>
      <c r="Z23" s="3"/>
      <c r="AA23" s="3"/>
      <c r="AB23" s="3"/>
    </row>
    <row r="24">
      <c r="A24" s="19" t="s">
        <v>583</v>
      </c>
      <c r="B24" s="19" t="s">
        <v>584</v>
      </c>
      <c r="C24" s="19" t="s">
        <v>201</v>
      </c>
      <c r="D24" s="19" t="s">
        <v>585</v>
      </c>
      <c r="E24" s="19" t="s">
        <v>586</v>
      </c>
      <c r="F24" s="48" t="s">
        <v>587</v>
      </c>
      <c r="G24" s="19" t="s">
        <v>7</v>
      </c>
      <c r="H24" s="20"/>
      <c r="I24" s="20"/>
      <c r="J24" s="3"/>
      <c r="K24" s="3"/>
      <c r="L24" s="3"/>
      <c r="M24" s="3"/>
      <c r="N24" s="3"/>
      <c r="O24" s="3"/>
      <c r="P24" s="3"/>
      <c r="Q24" s="3"/>
      <c r="R24" s="3"/>
      <c r="S24" s="3"/>
      <c r="T24" s="3"/>
      <c r="U24" s="3"/>
      <c r="V24" s="3"/>
      <c r="W24" s="3"/>
      <c r="X24" s="3"/>
      <c r="Y24" s="3"/>
      <c r="Z24" s="3"/>
      <c r="AA24" s="3"/>
      <c r="AB24" s="3"/>
    </row>
    <row r="25">
      <c r="A25" s="19" t="s">
        <v>588</v>
      </c>
      <c r="B25" s="19" t="s">
        <v>589</v>
      </c>
      <c r="C25" s="19" t="s">
        <v>195</v>
      </c>
      <c r="D25" s="19" t="s">
        <v>590</v>
      </c>
      <c r="E25" s="19" t="s">
        <v>591</v>
      </c>
      <c r="F25" s="48" t="s">
        <v>592</v>
      </c>
      <c r="G25" s="19" t="s">
        <v>8</v>
      </c>
      <c r="H25" s="19">
        <v>1.0</v>
      </c>
      <c r="I25" s="19" t="s">
        <v>539</v>
      </c>
      <c r="J25" s="3"/>
      <c r="K25" s="3"/>
      <c r="L25" s="3"/>
      <c r="M25" s="3"/>
      <c r="N25" s="3"/>
      <c r="O25" s="3"/>
      <c r="P25" s="3"/>
      <c r="Q25" s="3"/>
      <c r="R25" s="3"/>
      <c r="S25" s="3"/>
      <c r="T25" s="3"/>
      <c r="U25" s="3"/>
      <c r="V25" s="3"/>
      <c r="W25" s="3"/>
      <c r="X25" s="3"/>
      <c r="Y25" s="3"/>
      <c r="Z25" s="3"/>
      <c r="AA25" s="3"/>
      <c r="AB25" s="3"/>
    </row>
    <row r="26">
      <c r="A26" s="19" t="s">
        <v>593</v>
      </c>
      <c r="B26" s="19" t="s">
        <v>594</v>
      </c>
      <c r="C26" s="19" t="s">
        <v>195</v>
      </c>
      <c r="D26" s="19" t="s">
        <v>595</v>
      </c>
      <c r="E26" s="19" t="s">
        <v>596</v>
      </c>
      <c r="F26" s="48" t="s">
        <v>597</v>
      </c>
      <c r="G26" s="19" t="s">
        <v>6</v>
      </c>
      <c r="H26" s="19"/>
      <c r="I26" s="19" t="s">
        <v>577</v>
      </c>
      <c r="J26" s="3"/>
      <c r="K26" s="3"/>
      <c r="L26" s="3"/>
      <c r="M26" s="3"/>
      <c r="N26" s="3"/>
      <c r="O26" s="3"/>
      <c r="P26" s="3"/>
      <c r="Q26" s="3"/>
      <c r="R26" s="3"/>
      <c r="S26" s="3"/>
      <c r="T26" s="3"/>
      <c r="U26" s="3"/>
      <c r="V26" s="3"/>
      <c r="W26" s="3"/>
      <c r="X26" s="3"/>
      <c r="Y26" s="3"/>
      <c r="Z26" s="3"/>
      <c r="AA26" s="3"/>
      <c r="AB26" s="3"/>
    </row>
    <row r="27">
      <c r="A27" s="19" t="s">
        <v>598</v>
      </c>
      <c r="B27" s="19" t="s">
        <v>599</v>
      </c>
      <c r="C27" s="19" t="s">
        <v>600</v>
      </c>
      <c r="D27" s="19" t="s">
        <v>601</v>
      </c>
      <c r="E27" s="19" t="s">
        <v>558</v>
      </c>
      <c r="F27" s="48" t="s">
        <v>602</v>
      </c>
      <c r="G27" s="19" t="s">
        <v>7</v>
      </c>
      <c r="H27" s="19"/>
      <c r="I27" s="19"/>
      <c r="J27" s="3"/>
      <c r="K27" s="3"/>
      <c r="L27" s="3"/>
      <c r="M27" s="3"/>
      <c r="N27" s="3"/>
      <c r="O27" s="3"/>
      <c r="P27" s="3"/>
      <c r="Q27" s="3"/>
      <c r="R27" s="3"/>
      <c r="S27" s="3"/>
      <c r="T27" s="3"/>
      <c r="U27" s="3"/>
      <c r="V27" s="3"/>
      <c r="W27" s="3"/>
      <c r="X27" s="3"/>
      <c r="Y27" s="3"/>
      <c r="Z27" s="3"/>
      <c r="AA27" s="3"/>
      <c r="AB27" s="3"/>
    </row>
    <row r="28">
      <c r="A28" s="19" t="s">
        <v>603</v>
      </c>
      <c r="B28" s="19" t="s">
        <v>604</v>
      </c>
      <c r="C28" s="19" t="s">
        <v>600</v>
      </c>
      <c r="D28" s="19" t="s">
        <v>605</v>
      </c>
      <c r="E28" s="19" t="s">
        <v>558</v>
      </c>
      <c r="F28" s="48" t="s">
        <v>606</v>
      </c>
      <c r="G28" s="19" t="s">
        <v>8</v>
      </c>
      <c r="H28" s="19">
        <v>1.0</v>
      </c>
      <c r="I28" s="19" t="s">
        <v>607</v>
      </c>
      <c r="J28" s="3"/>
      <c r="K28" s="3"/>
      <c r="L28" s="3"/>
      <c r="M28" s="3"/>
      <c r="N28" s="3"/>
      <c r="O28" s="3"/>
      <c r="P28" s="3"/>
      <c r="Q28" s="3"/>
      <c r="R28" s="3"/>
      <c r="S28" s="3"/>
      <c r="T28" s="3"/>
      <c r="U28" s="3"/>
      <c r="V28" s="3"/>
      <c r="W28" s="3"/>
      <c r="X28" s="3"/>
      <c r="Y28" s="3"/>
      <c r="Z28" s="3"/>
      <c r="AA28" s="3"/>
      <c r="AB28" s="3"/>
    </row>
    <row r="29">
      <c r="A29" s="19" t="s">
        <v>608</v>
      </c>
      <c r="B29" s="19" t="s">
        <v>609</v>
      </c>
      <c r="C29" s="19" t="s">
        <v>600</v>
      </c>
      <c r="D29" s="19" t="s">
        <v>610</v>
      </c>
      <c r="E29" s="19" t="s">
        <v>611</v>
      </c>
      <c r="F29" s="48" t="s">
        <v>612</v>
      </c>
      <c r="G29" s="19" t="s">
        <v>8</v>
      </c>
      <c r="H29" s="19">
        <v>1.0</v>
      </c>
      <c r="I29" s="19" t="s">
        <v>613</v>
      </c>
      <c r="J29" s="3"/>
      <c r="K29" s="3"/>
      <c r="L29" s="3"/>
      <c r="M29" s="3"/>
      <c r="N29" s="3"/>
      <c r="O29" s="3"/>
      <c r="P29" s="3"/>
      <c r="Q29" s="3"/>
      <c r="R29" s="3"/>
      <c r="S29" s="3"/>
      <c r="T29" s="3"/>
      <c r="U29" s="3"/>
      <c r="V29" s="3"/>
      <c r="W29" s="3"/>
      <c r="X29" s="3"/>
      <c r="Y29" s="3"/>
      <c r="Z29" s="3"/>
      <c r="AA29" s="3"/>
      <c r="AB29" s="3"/>
    </row>
  </sheetData>
  <mergeCells count="8">
    <mergeCell ref="B1:I1"/>
    <mergeCell ref="B2:I2"/>
    <mergeCell ref="B3:I3"/>
    <mergeCell ref="C4:E4"/>
    <mergeCell ref="F4:I4"/>
    <mergeCell ref="C5:E10"/>
    <mergeCell ref="F5:I10"/>
    <mergeCell ref="B13:I13"/>
  </mergeCells>
  <dataValidations>
    <dataValidation type="list" allowBlank="1" showErrorMessage="1" sqref="C14:C29">
      <formula1>"Positive,Negative,UI/UX"</formula1>
    </dataValidation>
    <dataValidation type="list" allowBlank="1" showErrorMessage="1" sqref="G14:G29">
      <formula1>'USER-SRCH'!$A$6:$A$8</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523</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524</v>
      </c>
      <c r="C3" s="9"/>
      <c r="D3" s="9"/>
      <c r="E3" s="9"/>
      <c r="F3" s="9"/>
      <c r="G3" s="9"/>
      <c r="H3" s="9"/>
      <c r="I3" s="10"/>
      <c r="J3" s="3"/>
      <c r="K3" s="3"/>
      <c r="L3" s="3"/>
      <c r="M3" s="3"/>
      <c r="N3" s="3"/>
      <c r="O3" s="3"/>
      <c r="P3" s="3"/>
      <c r="Q3" s="3"/>
      <c r="R3" s="3"/>
      <c r="S3" s="3"/>
      <c r="T3" s="3"/>
      <c r="U3" s="3"/>
      <c r="V3" s="3"/>
      <c r="W3" s="3"/>
      <c r="X3" s="3"/>
      <c r="Y3" s="3"/>
      <c r="Z3" s="3"/>
      <c r="AA3" s="3"/>
      <c r="AB3" s="3"/>
    </row>
    <row r="4" ht="36.0" customHeight="1">
      <c r="A4" s="6" t="s">
        <v>2</v>
      </c>
      <c r="B4" s="7">
        <f>COUNTA(D14:D22)</f>
        <v>9</v>
      </c>
      <c r="C4" s="8" t="s">
        <v>10</v>
      </c>
      <c r="D4" s="9"/>
      <c r="E4" s="10"/>
      <c r="F4" s="42" t="s">
        <v>3</v>
      </c>
      <c r="G4" s="9"/>
      <c r="H4" s="9"/>
      <c r="I4" s="10"/>
      <c r="J4" s="3"/>
      <c r="K4" s="3"/>
      <c r="L4" s="3"/>
      <c r="M4" s="3"/>
      <c r="N4" s="3"/>
      <c r="O4" s="3"/>
      <c r="P4" s="3"/>
      <c r="Q4" s="3"/>
      <c r="R4" s="3"/>
      <c r="S4" s="3"/>
      <c r="T4" s="3"/>
      <c r="U4" s="3"/>
      <c r="V4" s="3"/>
      <c r="W4" s="3"/>
      <c r="X4" s="3"/>
      <c r="Y4" s="3"/>
      <c r="Z4" s="3"/>
      <c r="AA4" s="3"/>
      <c r="AB4" s="3"/>
    </row>
    <row r="5" ht="36.0" customHeight="1">
      <c r="A5" s="6" t="s">
        <v>4</v>
      </c>
      <c r="B5" s="7">
        <f>COUNTIFS(D14:D22, "&lt;&gt;", G14:G22, "&lt;&gt;", G14:G22, "&lt;&gt;Pending")</f>
        <v>9</v>
      </c>
      <c r="C5" s="11" t="s">
        <v>614</v>
      </c>
      <c r="D5" s="12"/>
      <c r="E5" s="13"/>
      <c r="F5" s="43" t="s">
        <v>615</v>
      </c>
      <c r="G5" s="12"/>
      <c r="H5" s="12"/>
      <c r="I5" s="13"/>
      <c r="J5" s="3"/>
      <c r="K5" s="3"/>
      <c r="L5" s="3"/>
      <c r="M5" s="3"/>
      <c r="N5" s="3"/>
      <c r="O5" s="3"/>
      <c r="P5" s="3"/>
      <c r="Q5" s="3"/>
      <c r="R5" s="3"/>
      <c r="S5" s="3"/>
      <c r="T5" s="3"/>
      <c r="U5" s="3"/>
      <c r="V5" s="3"/>
      <c r="W5" s="3"/>
      <c r="X5" s="3"/>
      <c r="Y5" s="3"/>
      <c r="Z5" s="3"/>
      <c r="AA5" s="3"/>
      <c r="AB5" s="3"/>
    </row>
    <row r="6" ht="36.0" customHeight="1">
      <c r="A6" s="6" t="s">
        <v>6</v>
      </c>
      <c r="B6" s="7">
        <f>B4-B5</f>
        <v>0</v>
      </c>
      <c r="C6" s="14"/>
      <c r="E6" s="15"/>
      <c r="F6" s="14"/>
      <c r="I6" s="15"/>
      <c r="J6" s="3"/>
      <c r="K6" s="3"/>
      <c r="L6" s="3"/>
      <c r="M6" s="3"/>
      <c r="N6" s="3"/>
      <c r="O6" s="3"/>
      <c r="P6" s="3"/>
      <c r="Q6" s="3"/>
      <c r="R6" s="3"/>
      <c r="S6" s="3"/>
      <c r="T6" s="3"/>
      <c r="U6" s="3"/>
      <c r="V6" s="3"/>
      <c r="W6" s="3"/>
      <c r="X6" s="3"/>
      <c r="Y6" s="3"/>
      <c r="Z6" s="3"/>
      <c r="AA6" s="3"/>
      <c r="AB6" s="3"/>
    </row>
    <row r="7" ht="36.0" customHeight="1">
      <c r="A7" s="6" t="s">
        <v>7</v>
      </c>
      <c r="B7" s="7">
        <f t="shared" ref="B7:B8" si="1">COUNTIF($G$14:$G22,A7)</f>
        <v>8</v>
      </c>
      <c r="C7" s="14"/>
      <c r="E7" s="15"/>
      <c r="F7" s="14"/>
      <c r="I7" s="15"/>
      <c r="J7" s="3"/>
      <c r="K7" s="3"/>
      <c r="L7" s="3"/>
      <c r="M7" s="3"/>
      <c r="N7" s="3"/>
      <c r="O7" s="3"/>
      <c r="P7" s="3"/>
      <c r="Q7" s="3"/>
      <c r="R7" s="3"/>
      <c r="S7" s="3"/>
      <c r="T7" s="3"/>
      <c r="U7" s="3"/>
      <c r="V7" s="3"/>
      <c r="W7" s="3"/>
      <c r="X7" s="3"/>
      <c r="Y7" s="3"/>
      <c r="Z7" s="3"/>
      <c r="AA7" s="3"/>
      <c r="AB7" s="3"/>
    </row>
    <row r="8" ht="36.0" customHeight="1">
      <c r="A8" s="6" t="s">
        <v>8</v>
      </c>
      <c r="B8" s="7">
        <f t="shared" si="1"/>
        <v>1</v>
      </c>
      <c r="C8" s="14"/>
      <c r="E8" s="15"/>
      <c r="F8" s="14"/>
      <c r="I8" s="15"/>
      <c r="J8" s="3"/>
      <c r="K8" s="3"/>
      <c r="L8" s="3"/>
      <c r="M8" s="3"/>
      <c r="N8" s="3"/>
      <c r="O8" s="3"/>
      <c r="P8" s="3"/>
      <c r="Q8" s="3"/>
      <c r="R8" s="3"/>
      <c r="S8" s="3"/>
      <c r="T8" s="3"/>
      <c r="U8" s="3"/>
      <c r="V8" s="3"/>
      <c r="W8" s="3"/>
      <c r="X8" s="3"/>
      <c r="Y8" s="3"/>
      <c r="Z8" s="3"/>
      <c r="AA8" s="3"/>
      <c r="AB8" s="3"/>
    </row>
    <row r="9" ht="36.0" customHeight="1">
      <c r="A9" s="6" t="s">
        <v>184</v>
      </c>
      <c r="B9" s="23">
        <f>B7/B5</f>
        <v>0.8888888889</v>
      </c>
      <c r="C9" s="14"/>
      <c r="E9" s="15"/>
      <c r="F9" s="14"/>
      <c r="I9" s="15"/>
      <c r="J9" s="3"/>
      <c r="K9" s="3"/>
      <c r="L9" s="3"/>
      <c r="M9" s="3"/>
      <c r="N9" s="3"/>
      <c r="O9" s="3"/>
      <c r="P9" s="3"/>
      <c r="Q9" s="3"/>
      <c r="R9" s="3"/>
      <c r="S9" s="3"/>
      <c r="T9" s="3"/>
      <c r="U9" s="3"/>
      <c r="V9" s="3"/>
      <c r="W9" s="3"/>
      <c r="X9" s="3"/>
      <c r="Y9" s="3"/>
      <c r="Z9" s="3"/>
      <c r="AA9" s="3"/>
      <c r="AB9" s="3"/>
    </row>
    <row r="10" ht="36.0" customHeight="1">
      <c r="A10" s="6" t="s">
        <v>9</v>
      </c>
      <c r="B10" s="7">
        <f>SUM(H14:H22)</f>
        <v>1</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44"/>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527</v>
      </c>
      <c r="D12" s="6" t="s">
        <v>186</v>
      </c>
      <c r="E12" s="6" t="s">
        <v>187</v>
      </c>
      <c r="F12" s="45"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19</v>
      </c>
      <c r="B13" s="47" t="s">
        <v>20</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616</v>
      </c>
      <c r="B14" s="19" t="s">
        <v>617</v>
      </c>
      <c r="C14" s="19" t="s">
        <v>195</v>
      </c>
      <c r="D14" s="19" t="s">
        <v>618</v>
      </c>
      <c r="E14" s="19" t="s">
        <v>619</v>
      </c>
      <c r="F14" s="48" t="s">
        <v>620</v>
      </c>
      <c r="G14" s="19" t="s">
        <v>7</v>
      </c>
      <c r="H14" s="19"/>
      <c r="I14" s="19"/>
      <c r="J14" s="3"/>
      <c r="K14" s="3"/>
      <c r="L14" s="3"/>
      <c r="M14" s="3"/>
      <c r="N14" s="3"/>
      <c r="O14" s="3"/>
      <c r="P14" s="3"/>
      <c r="Q14" s="3"/>
      <c r="R14" s="3"/>
      <c r="S14" s="3"/>
      <c r="T14" s="3"/>
      <c r="U14" s="3"/>
      <c r="V14" s="3"/>
      <c r="W14" s="3"/>
      <c r="X14" s="3"/>
      <c r="Y14" s="3"/>
      <c r="Z14" s="3"/>
      <c r="AA14" s="3"/>
      <c r="AB14" s="3"/>
    </row>
    <row r="15">
      <c r="A15" s="19" t="s">
        <v>621</v>
      </c>
      <c r="B15" s="19" t="s">
        <v>622</v>
      </c>
      <c r="C15" s="19" t="s">
        <v>195</v>
      </c>
      <c r="D15" s="19" t="s">
        <v>623</v>
      </c>
      <c r="E15" s="19" t="s">
        <v>624</v>
      </c>
      <c r="F15" s="48" t="s">
        <v>620</v>
      </c>
      <c r="G15" s="19" t="s">
        <v>7</v>
      </c>
      <c r="H15" s="19"/>
      <c r="I15" s="19"/>
      <c r="J15" s="3"/>
      <c r="K15" s="3"/>
      <c r="L15" s="3"/>
      <c r="M15" s="3"/>
      <c r="N15" s="3"/>
      <c r="O15" s="3"/>
      <c r="P15" s="3"/>
      <c r="Q15" s="3"/>
      <c r="R15" s="3"/>
      <c r="S15" s="3"/>
      <c r="T15" s="3"/>
      <c r="U15" s="3"/>
      <c r="V15" s="3"/>
      <c r="W15" s="3"/>
      <c r="X15" s="3"/>
      <c r="Y15" s="3"/>
      <c r="Z15" s="3"/>
      <c r="AA15" s="3"/>
      <c r="AB15" s="3"/>
    </row>
    <row r="16">
      <c r="A16" s="19" t="s">
        <v>625</v>
      </c>
      <c r="B16" s="19" t="s">
        <v>626</v>
      </c>
      <c r="C16" s="19" t="s">
        <v>195</v>
      </c>
      <c r="D16" s="19" t="s">
        <v>627</v>
      </c>
      <c r="E16" s="19" t="s">
        <v>628</v>
      </c>
      <c r="F16" s="48" t="s">
        <v>629</v>
      </c>
      <c r="G16" s="19" t="s">
        <v>7</v>
      </c>
      <c r="H16" s="19"/>
      <c r="I16" s="19"/>
      <c r="J16" s="3"/>
      <c r="K16" s="3"/>
      <c r="L16" s="3"/>
      <c r="M16" s="3"/>
      <c r="N16" s="3"/>
      <c r="O16" s="3"/>
      <c r="P16" s="3"/>
      <c r="Q16" s="3"/>
      <c r="R16" s="3"/>
      <c r="S16" s="3"/>
      <c r="T16" s="3"/>
      <c r="U16" s="3"/>
      <c r="V16" s="3"/>
      <c r="W16" s="3"/>
      <c r="X16" s="3"/>
      <c r="Y16" s="3"/>
      <c r="Z16" s="3"/>
      <c r="AA16" s="3"/>
      <c r="AB16" s="3"/>
    </row>
    <row r="17">
      <c r="A17" s="19" t="s">
        <v>630</v>
      </c>
      <c r="B17" s="19" t="s">
        <v>631</v>
      </c>
      <c r="C17" s="19" t="s">
        <v>201</v>
      </c>
      <c r="D17" s="19" t="s">
        <v>632</v>
      </c>
      <c r="E17" s="19" t="s">
        <v>633</v>
      </c>
      <c r="F17" s="48" t="s">
        <v>634</v>
      </c>
      <c r="G17" s="19" t="s">
        <v>8</v>
      </c>
      <c r="H17" s="19">
        <v>1.0</v>
      </c>
      <c r="I17" s="19" t="s">
        <v>635</v>
      </c>
      <c r="J17" s="3"/>
      <c r="K17" s="3"/>
      <c r="L17" s="3"/>
      <c r="M17" s="3"/>
      <c r="N17" s="3"/>
      <c r="O17" s="3"/>
      <c r="P17" s="3"/>
      <c r="Q17" s="3"/>
      <c r="R17" s="3"/>
      <c r="S17" s="3"/>
      <c r="T17" s="3"/>
      <c r="U17" s="3"/>
      <c r="V17" s="3"/>
      <c r="W17" s="3"/>
      <c r="X17" s="3"/>
      <c r="Y17" s="3"/>
      <c r="Z17" s="3"/>
      <c r="AA17" s="3"/>
      <c r="AB17" s="3"/>
    </row>
    <row r="18">
      <c r="A18" s="19" t="s">
        <v>636</v>
      </c>
      <c r="B18" s="19" t="s">
        <v>637</v>
      </c>
      <c r="C18" s="19" t="s">
        <v>201</v>
      </c>
      <c r="D18" s="19" t="s">
        <v>569</v>
      </c>
      <c r="E18" s="19" t="s">
        <v>570</v>
      </c>
      <c r="F18" s="48" t="s">
        <v>638</v>
      </c>
      <c r="G18" s="19" t="s">
        <v>7</v>
      </c>
      <c r="H18" s="20"/>
      <c r="I18" s="20"/>
      <c r="J18" s="3"/>
      <c r="K18" s="3"/>
      <c r="L18" s="3"/>
      <c r="M18" s="3"/>
      <c r="N18" s="3"/>
      <c r="O18" s="3"/>
      <c r="P18" s="3"/>
      <c r="Q18" s="3"/>
      <c r="R18" s="3"/>
      <c r="S18" s="3"/>
      <c r="T18" s="3"/>
      <c r="U18" s="3"/>
      <c r="V18" s="3"/>
      <c r="W18" s="3"/>
      <c r="X18" s="3"/>
      <c r="Y18" s="3"/>
      <c r="Z18" s="3"/>
      <c r="AA18" s="3"/>
      <c r="AB18" s="3"/>
    </row>
    <row r="19">
      <c r="A19" s="19" t="s">
        <v>639</v>
      </c>
      <c r="B19" s="19" t="s">
        <v>640</v>
      </c>
      <c r="C19" s="19" t="s">
        <v>201</v>
      </c>
      <c r="D19" s="19" t="s">
        <v>641</v>
      </c>
      <c r="E19" s="19" t="s">
        <v>642</v>
      </c>
      <c r="F19" s="48" t="s">
        <v>643</v>
      </c>
      <c r="G19" s="19" t="s">
        <v>7</v>
      </c>
      <c r="H19" s="20"/>
      <c r="I19" s="20"/>
      <c r="J19" s="3"/>
      <c r="K19" s="3"/>
      <c r="L19" s="3"/>
      <c r="M19" s="3"/>
      <c r="N19" s="3"/>
      <c r="O19" s="3"/>
      <c r="P19" s="3"/>
      <c r="Q19" s="3"/>
      <c r="R19" s="3"/>
      <c r="S19" s="3"/>
      <c r="T19" s="3"/>
      <c r="U19" s="3"/>
      <c r="V19" s="3"/>
      <c r="W19" s="3"/>
      <c r="X19" s="3"/>
      <c r="Y19" s="3"/>
      <c r="Z19" s="3"/>
      <c r="AA19" s="3"/>
      <c r="AB19" s="3"/>
    </row>
    <row r="20">
      <c r="A20" s="19" t="s">
        <v>644</v>
      </c>
      <c r="B20" s="19" t="s">
        <v>645</v>
      </c>
      <c r="C20" s="19" t="s">
        <v>201</v>
      </c>
      <c r="D20" s="19" t="s">
        <v>646</v>
      </c>
      <c r="E20" s="49" t="s">
        <v>581</v>
      </c>
      <c r="F20" s="48" t="s">
        <v>647</v>
      </c>
      <c r="G20" s="19" t="s">
        <v>7</v>
      </c>
      <c r="H20" s="20"/>
      <c r="I20" s="20"/>
      <c r="J20" s="3"/>
      <c r="K20" s="3"/>
      <c r="L20" s="3"/>
      <c r="M20" s="3"/>
      <c r="N20" s="3"/>
      <c r="O20" s="3"/>
      <c r="P20" s="3"/>
      <c r="Q20" s="3"/>
      <c r="R20" s="3"/>
      <c r="S20" s="3"/>
      <c r="T20" s="3"/>
      <c r="U20" s="3"/>
      <c r="V20" s="3"/>
      <c r="W20" s="3"/>
      <c r="X20" s="3"/>
      <c r="Y20" s="3"/>
      <c r="Z20" s="3"/>
      <c r="AA20" s="3"/>
      <c r="AB20" s="3"/>
    </row>
    <row r="21">
      <c r="A21" s="19" t="s">
        <v>648</v>
      </c>
      <c r="B21" s="19" t="s">
        <v>649</v>
      </c>
      <c r="C21" s="19" t="s">
        <v>600</v>
      </c>
      <c r="D21" s="19" t="s">
        <v>650</v>
      </c>
      <c r="E21" s="19" t="s">
        <v>619</v>
      </c>
      <c r="F21" s="48" t="s">
        <v>651</v>
      </c>
      <c r="G21" s="19" t="s">
        <v>7</v>
      </c>
      <c r="H21" s="20"/>
      <c r="I21" s="20"/>
      <c r="J21" s="3"/>
      <c r="K21" s="3"/>
      <c r="L21" s="3"/>
      <c r="M21" s="3"/>
      <c r="N21" s="3"/>
      <c r="O21" s="3"/>
      <c r="P21" s="3"/>
      <c r="Q21" s="3"/>
      <c r="R21" s="3"/>
      <c r="S21" s="3"/>
      <c r="T21" s="3"/>
      <c r="U21" s="3"/>
      <c r="V21" s="3"/>
      <c r="W21" s="3"/>
      <c r="X21" s="3"/>
      <c r="Y21" s="3"/>
      <c r="Z21" s="3"/>
      <c r="AA21" s="3"/>
      <c r="AB21" s="3"/>
    </row>
    <row r="22">
      <c r="A22" s="19" t="s">
        <v>652</v>
      </c>
      <c r="B22" s="19" t="s">
        <v>653</v>
      </c>
      <c r="C22" s="19" t="s">
        <v>195</v>
      </c>
      <c r="D22" s="19" t="s">
        <v>654</v>
      </c>
      <c r="E22" s="19" t="s">
        <v>596</v>
      </c>
      <c r="F22" s="48" t="s">
        <v>655</v>
      </c>
      <c r="G22" s="19" t="s">
        <v>7</v>
      </c>
      <c r="H22" s="20"/>
      <c r="I22" s="20"/>
      <c r="J22" s="3"/>
      <c r="K22" s="3"/>
      <c r="L22" s="3"/>
      <c r="M22" s="3"/>
      <c r="N22" s="3"/>
      <c r="O22" s="3"/>
      <c r="P22" s="3"/>
      <c r="Q22" s="3"/>
      <c r="R22" s="3"/>
      <c r="S22" s="3"/>
      <c r="T22" s="3"/>
      <c r="U22" s="3"/>
      <c r="V22" s="3"/>
      <c r="W22" s="3"/>
      <c r="X22" s="3"/>
      <c r="Y22" s="3"/>
      <c r="Z22" s="3"/>
      <c r="AA22" s="3"/>
      <c r="AB22" s="3"/>
    </row>
  </sheetData>
  <mergeCells count="8">
    <mergeCell ref="B1:I1"/>
    <mergeCell ref="B2:I2"/>
    <mergeCell ref="B3:I3"/>
    <mergeCell ref="C4:E4"/>
    <mergeCell ref="F4:I4"/>
    <mergeCell ref="C5:E10"/>
    <mergeCell ref="F5:I10"/>
    <mergeCell ref="B13:I13"/>
  </mergeCells>
  <dataValidations>
    <dataValidation type="list" allowBlank="1" showErrorMessage="1" sqref="C14:C22">
      <formula1>"Positive,Negative,UI/UX"</formula1>
    </dataValidation>
    <dataValidation type="list" allowBlank="1" showErrorMessage="1" sqref="G14:G22">
      <formula1>'ADMIN-SRCH'!$A$6:$A$8</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c r="A2" s="6" t="s">
        <v>178</v>
      </c>
      <c r="B2" s="22" t="s">
        <v>523</v>
      </c>
      <c r="C2" s="9"/>
      <c r="D2" s="9"/>
      <c r="E2" s="9"/>
      <c r="F2" s="9"/>
      <c r="G2" s="9"/>
      <c r="H2" s="9"/>
      <c r="I2" s="10"/>
      <c r="J2" s="3"/>
      <c r="K2" s="3"/>
      <c r="L2" s="3"/>
      <c r="M2" s="3"/>
      <c r="N2" s="3"/>
      <c r="O2" s="3"/>
      <c r="P2" s="3"/>
      <c r="Q2" s="3"/>
      <c r="R2" s="3"/>
      <c r="S2" s="3"/>
      <c r="T2" s="3"/>
      <c r="U2" s="3"/>
      <c r="V2" s="3"/>
      <c r="W2" s="3"/>
      <c r="X2" s="3"/>
      <c r="Y2" s="3"/>
      <c r="Z2" s="3"/>
      <c r="AA2" s="3"/>
      <c r="AB2" s="3"/>
    </row>
    <row r="3">
      <c r="A3" s="6" t="s">
        <v>180</v>
      </c>
      <c r="B3" s="22" t="s">
        <v>524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COUNTA(D14:D24)</f>
        <v>11</v>
      </c>
      <c r="C4" s="8" t="s">
        <v>10</v>
      </c>
      <c r="D4" s="9"/>
      <c r="E4" s="10"/>
      <c r="F4" s="42" t="s">
        <v>3</v>
      </c>
      <c r="G4" s="9"/>
      <c r="H4" s="9"/>
      <c r="I4" s="10"/>
      <c r="J4" s="3"/>
      <c r="K4" s="3"/>
      <c r="L4" s="3"/>
      <c r="M4" s="3"/>
      <c r="N4" s="3"/>
      <c r="O4" s="3"/>
      <c r="P4" s="3"/>
      <c r="Q4" s="3"/>
      <c r="R4" s="3"/>
      <c r="S4" s="3"/>
      <c r="T4" s="3"/>
      <c r="U4" s="3"/>
      <c r="V4" s="3"/>
      <c r="W4" s="3"/>
      <c r="X4" s="3"/>
      <c r="Y4" s="3"/>
      <c r="Z4" s="3"/>
      <c r="AA4" s="3"/>
      <c r="AB4" s="3"/>
    </row>
    <row r="5">
      <c r="A5" s="6" t="s">
        <v>4</v>
      </c>
      <c r="B5" s="7">
        <f>COUNTIFS(D14:D24, "&lt;&gt;", G14:G24, "&lt;&gt;", G14:G24, "&lt;&gt;Pending")</f>
        <v>11</v>
      </c>
      <c r="C5" s="11" t="s">
        <v>656</v>
      </c>
      <c r="D5" s="12"/>
      <c r="E5" s="13"/>
      <c r="F5" s="43" t="s">
        <v>657</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COUNTIF($G$14:$G24,A7)</f>
        <v>9</v>
      </c>
      <c r="C7" s="14"/>
      <c r="E7" s="15"/>
      <c r="F7" s="14"/>
      <c r="I7" s="15"/>
      <c r="J7" s="3"/>
      <c r="K7" s="3"/>
      <c r="L7" s="3"/>
      <c r="M7" s="3"/>
      <c r="N7" s="3"/>
      <c r="O7" s="3"/>
      <c r="P7" s="3"/>
      <c r="Q7" s="3"/>
      <c r="R7" s="3"/>
      <c r="S7" s="3"/>
      <c r="T7" s="3"/>
      <c r="U7" s="3"/>
      <c r="V7" s="3"/>
      <c r="W7" s="3"/>
      <c r="X7" s="3"/>
      <c r="Y7" s="3"/>
      <c r="Z7" s="3"/>
      <c r="AA7" s="3"/>
      <c r="AB7" s="3"/>
    </row>
    <row r="8">
      <c r="A8" s="6" t="s">
        <v>8</v>
      </c>
      <c r="B8" s="7">
        <f t="shared" si="1"/>
        <v>2</v>
      </c>
      <c r="C8" s="14"/>
      <c r="E8" s="15"/>
      <c r="F8" s="14"/>
      <c r="I8" s="15"/>
      <c r="J8" s="3"/>
      <c r="K8" s="3"/>
      <c r="L8" s="3"/>
      <c r="M8" s="3"/>
      <c r="N8" s="3"/>
      <c r="O8" s="3"/>
      <c r="P8" s="3"/>
      <c r="Q8" s="3"/>
      <c r="R8" s="3"/>
      <c r="S8" s="3"/>
      <c r="T8" s="3"/>
      <c r="U8" s="3"/>
      <c r="V8" s="3"/>
      <c r="W8" s="3"/>
      <c r="X8" s="3"/>
      <c r="Y8" s="3"/>
      <c r="Z8" s="3"/>
      <c r="AA8" s="3"/>
      <c r="AB8" s="3"/>
    </row>
    <row r="9">
      <c r="A9" s="6" t="s">
        <v>184</v>
      </c>
      <c r="B9" s="23">
        <f>B7/B5</f>
        <v>0.8181818182</v>
      </c>
      <c r="C9" s="14"/>
      <c r="E9" s="15"/>
      <c r="F9" s="14"/>
      <c r="I9" s="15"/>
      <c r="J9" s="3"/>
      <c r="K9" s="3"/>
      <c r="L9" s="3"/>
      <c r="M9" s="3"/>
      <c r="N9" s="3"/>
      <c r="O9" s="3"/>
      <c r="P9" s="3"/>
      <c r="Q9" s="3"/>
      <c r="R9" s="3"/>
      <c r="S9" s="3"/>
      <c r="T9" s="3"/>
      <c r="U9" s="3"/>
      <c r="V9" s="3"/>
      <c r="W9" s="3"/>
      <c r="X9" s="3"/>
      <c r="Y9" s="3"/>
      <c r="Z9" s="3"/>
      <c r="AA9" s="3"/>
      <c r="AB9" s="3"/>
    </row>
    <row r="10">
      <c r="A10" s="6" t="s">
        <v>9</v>
      </c>
      <c r="B10" s="7">
        <f>SUM(H14:H24)</f>
        <v>2</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44"/>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527</v>
      </c>
      <c r="D12" s="6" t="s">
        <v>186</v>
      </c>
      <c r="E12" s="6" t="s">
        <v>187</v>
      </c>
      <c r="F12" s="45"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22</v>
      </c>
      <c r="B13" s="47" t="s">
        <v>23</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658</v>
      </c>
      <c r="B14" s="19" t="s">
        <v>659</v>
      </c>
      <c r="C14" s="19" t="s">
        <v>195</v>
      </c>
      <c r="D14" s="19" t="s">
        <v>660</v>
      </c>
      <c r="E14" s="19" t="s">
        <v>661</v>
      </c>
      <c r="F14" s="50" t="s">
        <v>662</v>
      </c>
      <c r="G14" s="19" t="s">
        <v>7</v>
      </c>
      <c r="H14" s="19"/>
      <c r="I14" s="20"/>
      <c r="J14" s="3"/>
      <c r="K14" s="3"/>
      <c r="L14" s="3"/>
      <c r="M14" s="3"/>
      <c r="N14" s="3"/>
      <c r="O14" s="3"/>
      <c r="P14" s="3"/>
      <c r="Q14" s="3"/>
      <c r="R14" s="3"/>
      <c r="S14" s="3"/>
      <c r="T14" s="3"/>
      <c r="U14" s="3"/>
      <c r="V14" s="3"/>
      <c r="W14" s="3"/>
      <c r="X14" s="3"/>
      <c r="Y14" s="3"/>
      <c r="Z14" s="3"/>
      <c r="AA14" s="3"/>
      <c r="AB14" s="3"/>
    </row>
    <row r="15">
      <c r="A15" s="19" t="s">
        <v>663</v>
      </c>
      <c r="B15" s="19" t="s">
        <v>664</v>
      </c>
      <c r="C15" s="19" t="s">
        <v>195</v>
      </c>
      <c r="D15" s="19" t="s">
        <v>665</v>
      </c>
      <c r="E15" s="19" t="s">
        <v>558</v>
      </c>
      <c r="F15" s="48" t="s">
        <v>666</v>
      </c>
      <c r="G15" s="19" t="s">
        <v>7</v>
      </c>
      <c r="H15" s="19"/>
      <c r="I15" s="19"/>
      <c r="J15" s="3"/>
      <c r="K15" s="3"/>
      <c r="L15" s="3"/>
      <c r="M15" s="3"/>
      <c r="N15" s="3"/>
      <c r="O15" s="3"/>
      <c r="P15" s="3"/>
      <c r="Q15" s="3"/>
      <c r="R15" s="3"/>
      <c r="S15" s="3"/>
      <c r="T15" s="3"/>
      <c r="U15" s="3"/>
      <c r="V15" s="3"/>
      <c r="W15" s="3"/>
      <c r="X15" s="3"/>
      <c r="Y15" s="3"/>
      <c r="Z15" s="3"/>
      <c r="AA15" s="3"/>
      <c r="AB15" s="3"/>
    </row>
    <row r="16">
      <c r="A16" s="19" t="s">
        <v>667</v>
      </c>
      <c r="B16" s="19" t="s">
        <v>668</v>
      </c>
      <c r="C16" s="19" t="s">
        <v>195</v>
      </c>
      <c r="D16" s="19" t="s">
        <v>669</v>
      </c>
      <c r="E16" s="19" t="s">
        <v>558</v>
      </c>
      <c r="F16" s="48" t="s">
        <v>670</v>
      </c>
      <c r="G16" s="19" t="s">
        <v>7</v>
      </c>
      <c r="H16" s="19"/>
      <c r="I16" s="19"/>
      <c r="J16" s="3"/>
      <c r="K16" s="3"/>
      <c r="L16" s="3"/>
      <c r="M16" s="3"/>
      <c r="N16" s="3"/>
      <c r="O16" s="3"/>
      <c r="P16" s="3"/>
      <c r="Q16" s="3"/>
      <c r="R16" s="3"/>
      <c r="S16" s="3"/>
      <c r="T16" s="3"/>
      <c r="U16" s="3"/>
      <c r="V16" s="3"/>
      <c r="W16" s="3"/>
      <c r="X16" s="3"/>
      <c r="Y16" s="3"/>
      <c r="Z16" s="3"/>
      <c r="AA16" s="3"/>
      <c r="AB16" s="3"/>
    </row>
    <row r="17">
      <c r="A17" s="19" t="s">
        <v>671</v>
      </c>
      <c r="B17" s="19" t="s">
        <v>672</v>
      </c>
      <c r="C17" s="19" t="s">
        <v>195</v>
      </c>
      <c r="D17" s="19" t="s">
        <v>673</v>
      </c>
      <c r="E17" s="19" t="s">
        <v>674</v>
      </c>
      <c r="F17" s="51" t="s">
        <v>675</v>
      </c>
      <c r="G17" s="19" t="s">
        <v>7</v>
      </c>
      <c r="H17" s="19"/>
      <c r="I17" s="20"/>
      <c r="J17" s="3"/>
      <c r="K17" s="3"/>
      <c r="L17" s="3"/>
      <c r="M17" s="3"/>
      <c r="N17" s="3"/>
      <c r="O17" s="3"/>
      <c r="P17" s="3"/>
      <c r="Q17" s="3"/>
      <c r="R17" s="3"/>
      <c r="S17" s="3"/>
      <c r="T17" s="3"/>
      <c r="U17" s="3"/>
      <c r="V17" s="3"/>
      <c r="W17" s="3"/>
      <c r="X17" s="3"/>
      <c r="Y17" s="3"/>
      <c r="Z17" s="3"/>
      <c r="AA17" s="3"/>
      <c r="AB17" s="3"/>
    </row>
    <row r="18">
      <c r="A18" s="19" t="s">
        <v>676</v>
      </c>
      <c r="B18" s="19" t="s">
        <v>677</v>
      </c>
      <c r="C18" s="19" t="s">
        <v>195</v>
      </c>
      <c r="D18" s="19" t="s">
        <v>678</v>
      </c>
      <c r="E18" s="19" t="s">
        <v>679</v>
      </c>
      <c r="F18" s="51" t="s">
        <v>680</v>
      </c>
      <c r="G18" s="19" t="s">
        <v>7</v>
      </c>
      <c r="H18" s="19"/>
      <c r="I18" s="20"/>
      <c r="J18" s="3"/>
      <c r="K18" s="3"/>
      <c r="L18" s="3"/>
      <c r="M18" s="3"/>
      <c r="N18" s="3"/>
      <c r="O18" s="3"/>
      <c r="P18" s="3"/>
      <c r="Q18" s="3"/>
      <c r="R18" s="3"/>
      <c r="S18" s="3"/>
      <c r="T18" s="3"/>
      <c r="U18" s="3"/>
      <c r="V18" s="3"/>
      <c r="W18" s="3"/>
      <c r="X18" s="3"/>
      <c r="Y18" s="3"/>
      <c r="Z18" s="3"/>
      <c r="AA18" s="3"/>
      <c r="AB18" s="3"/>
    </row>
    <row r="19">
      <c r="A19" s="19" t="s">
        <v>681</v>
      </c>
      <c r="B19" s="19" t="s">
        <v>682</v>
      </c>
      <c r="C19" s="19" t="s">
        <v>201</v>
      </c>
      <c r="D19" s="19" t="s">
        <v>683</v>
      </c>
      <c r="E19" s="19" t="s">
        <v>684</v>
      </c>
      <c r="F19" s="48" t="s">
        <v>685</v>
      </c>
      <c r="G19" s="19" t="s">
        <v>7</v>
      </c>
      <c r="H19" s="19"/>
      <c r="I19" s="20"/>
      <c r="J19" s="3"/>
      <c r="K19" s="3"/>
      <c r="L19" s="3"/>
      <c r="M19" s="3"/>
      <c r="N19" s="3"/>
      <c r="O19" s="3"/>
      <c r="P19" s="3"/>
      <c r="Q19" s="3"/>
      <c r="R19" s="3"/>
      <c r="S19" s="3"/>
      <c r="T19" s="3"/>
      <c r="U19" s="3"/>
      <c r="V19" s="3"/>
      <c r="W19" s="3"/>
      <c r="X19" s="3"/>
      <c r="Y19" s="3"/>
      <c r="Z19" s="3"/>
      <c r="AA19" s="3"/>
      <c r="AB19" s="3"/>
    </row>
    <row r="20">
      <c r="A20" s="19" t="s">
        <v>686</v>
      </c>
      <c r="B20" s="19" t="s">
        <v>687</v>
      </c>
      <c r="C20" s="19" t="s">
        <v>201</v>
      </c>
      <c r="D20" s="19" t="s">
        <v>688</v>
      </c>
      <c r="E20" s="19" t="s">
        <v>689</v>
      </c>
      <c r="F20" s="48" t="s">
        <v>690</v>
      </c>
      <c r="G20" s="19" t="s">
        <v>8</v>
      </c>
      <c r="H20" s="19">
        <v>1.0</v>
      </c>
      <c r="I20" s="19" t="s">
        <v>691</v>
      </c>
      <c r="J20" s="3"/>
      <c r="K20" s="3"/>
      <c r="L20" s="3"/>
      <c r="M20" s="3"/>
      <c r="N20" s="3"/>
      <c r="O20" s="3"/>
      <c r="P20" s="3"/>
      <c r="Q20" s="3"/>
      <c r="R20" s="3"/>
      <c r="S20" s="3"/>
      <c r="T20" s="3"/>
      <c r="U20" s="3"/>
      <c r="V20" s="3"/>
      <c r="W20" s="3"/>
      <c r="X20" s="3"/>
      <c r="Y20" s="3"/>
      <c r="Z20" s="3"/>
      <c r="AA20" s="3"/>
      <c r="AB20" s="3"/>
    </row>
    <row r="21">
      <c r="A21" s="19" t="s">
        <v>692</v>
      </c>
      <c r="B21" s="19" t="s">
        <v>693</v>
      </c>
      <c r="C21" s="19" t="s">
        <v>201</v>
      </c>
      <c r="D21" s="19" t="s">
        <v>694</v>
      </c>
      <c r="E21" s="19" t="s">
        <v>695</v>
      </c>
      <c r="F21" s="48" t="s">
        <v>696</v>
      </c>
      <c r="G21" s="19" t="s">
        <v>8</v>
      </c>
      <c r="H21" s="19">
        <v>1.0</v>
      </c>
      <c r="I21" s="19" t="s">
        <v>697</v>
      </c>
      <c r="J21" s="3"/>
      <c r="K21" s="3"/>
      <c r="L21" s="3"/>
      <c r="M21" s="3"/>
      <c r="N21" s="3"/>
      <c r="O21" s="3"/>
      <c r="P21" s="3"/>
      <c r="Q21" s="3"/>
      <c r="R21" s="3"/>
      <c r="S21" s="3"/>
      <c r="T21" s="3"/>
      <c r="U21" s="3"/>
      <c r="V21" s="3"/>
      <c r="W21" s="3"/>
      <c r="X21" s="3"/>
      <c r="Y21" s="3"/>
      <c r="Z21" s="3"/>
      <c r="AA21" s="3"/>
      <c r="AB21" s="3"/>
    </row>
    <row r="22">
      <c r="A22" s="19" t="s">
        <v>698</v>
      </c>
      <c r="B22" s="19" t="s">
        <v>699</v>
      </c>
      <c r="C22" s="19" t="s">
        <v>201</v>
      </c>
      <c r="D22" s="19" t="s">
        <v>700</v>
      </c>
      <c r="E22" s="19" t="s">
        <v>701</v>
      </c>
      <c r="F22" s="48" t="s">
        <v>702</v>
      </c>
      <c r="G22" s="19" t="s">
        <v>7</v>
      </c>
      <c r="H22" s="19"/>
      <c r="I22" s="20"/>
      <c r="J22" s="3"/>
      <c r="K22" s="3"/>
      <c r="L22" s="3"/>
      <c r="M22" s="3"/>
      <c r="N22" s="3"/>
      <c r="O22" s="3"/>
      <c r="P22" s="3"/>
      <c r="Q22" s="3"/>
      <c r="R22" s="3"/>
      <c r="S22" s="3"/>
      <c r="T22" s="3"/>
      <c r="U22" s="3"/>
      <c r="V22" s="3"/>
      <c r="W22" s="3"/>
      <c r="X22" s="3"/>
      <c r="Y22" s="3"/>
      <c r="Z22" s="3"/>
      <c r="AA22" s="3"/>
      <c r="AB22" s="3"/>
    </row>
    <row r="23">
      <c r="A23" s="19" t="s">
        <v>703</v>
      </c>
      <c r="B23" s="19" t="s">
        <v>704</v>
      </c>
      <c r="C23" s="19" t="s">
        <v>600</v>
      </c>
      <c r="D23" s="19" t="s">
        <v>705</v>
      </c>
      <c r="E23" s="19" t="s">
        <v>558</v>
      </c>
      <c r="F23" s="48" t="s">
        <v>706</v>
      </c>
      <c r="G23" s="19" t="s">
        <v>7</v>
      </c>
      <c r="H23" s="19"/>
      <c r="I23" s="20"/>
      <c r="J23" s="3"/>
      <c r="K23" s="3"/>
      <c r="L23" s="3"/>
      <c r="M23" s="3"/>
      <c r="N23" s="3"/>
      <c r="O23" s="3"/>
      <c r="P23" s="3"/>
      <c r="Q23" s="3"/>
      <c r="R23" s="3"/>
      <c r="S23" s="3"/>
      <c r="T23" s="3"/>
      <c r="U23" s="3"/>
      <c r="V23" s="3"/>
      <c r="W23" s="3"/>
      <c r="X23" s="3"/>
      <c r="Y23" s="3"/>
      <c r="Z23" s="3"/>
      <c r="AA23" s="3"/>
      <c r="AB23" s="3"/>
    </row>
    <row r="24">
      <c r="A24" s="19" t="s">
        <v>707</v>
      </c>
      <c r="B24" s="19" t="s">
        <v>708</v>
      </c>
      <c r="C24" s="19" t="s">
        <v>600</v>
      </c>
      <c r="D24" s="19" t="s">
        <v>709</v>
      </c>
      <c r="E24" s="19" t="s">
        <v>558</v>
      </c>
      <c r="F24" s="48" t="s">
        <v>710</v>
      </c>
      <c r="G24" s="19" t="s">
        <v>7</v>
      </c>
      <c r="H24" s="19"/>
      <c r="I24" s="20"/>
      <c r="J24" s="3"/>
      <c r="K24" s="3"/>
      <c r="L24" s="3"/>
      <c r="M24" s="3"/>
      <c r="N24" s="3"/>
      <c r="O24" s="3"/>
      <c r="P24" s="3"/>
      <c r="Q24" s="3"/>
      <c r="R24" s="3"/>
      <c r="S24" s="3"/>
      <c r="T24" s="3"/>
      <c r="U24" s="3"/>
      <c r="V24" s="3"/>
      <c r="W24" s="3"/>
      <c r="X24" s="3"/>
      <c r="Y24" s="3"/>
      <c r="Z24" s="3"/>
      <c r="AA24" s="3"/>
      <c r="AB24" s="3"/>
    </row>
  </sheetData>
  <mergeCells count="8">
    <mergeCell ref="B1:I1"/>
    <mergeCell ref="B2:I2"/>
    <mergeCell ref="B3:I3"/>
    <mergeCell ref="C4:E4"/>
    <mergeCell ref="F4:I4"/>
    <mergeCell ref="C5:E10"/>
    <mergeCell ref="F5:I10"/>
    <mergeCell ref="B13:I13"/>
  </mergeCells>
  <dataValidations>
    <dataValidation type="list" allowBlank="1" showErrorMessage="1" sqref="C14:C24">
      <formula1>"Positive,Negative,UI/UX"</formula1>
    </dataValidation>
    <dataValidation type="list" allowBlank="1" showErrorMessage="1" sqref="G14:G24">
      <formula1>'ADMIN-CRUD'!$A$6:$A$8</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18.38"/>
    <col customWidth="1" min="3" max="3" width="16.13"/>
    <col customWidth="1" min="4" max="6" width="32.13"/>
    <col customWidth="1" min="7" max="7" width="16.13"/>
    <col customWidth="1" min="8" max="8" width="8.13"/>
    <col customWidth="1" min="9" max="9" width="32.13"/>
  </cols>
  <sheetData>
    <row r="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c r="A2" s="6" t="s">
        <v>178</v>
      </c>
      <c r="B2" s="22" t="s">
        <v>523</v>
      </c>
      <c r="C2" s="9"/>
      <c r="D2" s="9"/>
      <c r="E2" s="9"/>
      <c r="F2" s="9"/>
      <c r="G2" s="9"/>
      <c r="H2" s="9"/>
      <c r="I2" s="10"/>
      <c r="J2" s="3"/>
      <c r="K2" s="3"/>
      <c r="L2" s="3"/>
      <c r="M2" s="3"/>
      <c r="N2" s="3"/>
      <c r="O2" s="3"/>
      <c r="P2" s="3"/>
      <c r="Q2" s="3"/>
      <c r="R2" s="3"/>
      <c r="S2" s="3"/>
      <c r="T2" s="3"/>
      <c r="U2" s="3"/>
      <c r="V2" s="3"/>
      <c r="W2" s="3"/>
      <c r="X2" s="3"/>
      <c r="Y2" s="3"/>
      <c r="Z2" s="3"/>
      <c r="AA2" s="3"/>
      <c r="AB2" s="3"/>
    </row>
    <row r="3">
      <c r="A3" s="6" t="s">
        <v>180</v>
      </c>
      <c r="B3" s="22" t="s">
        <v>524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COUNTA(D14:D18)</f>
        <v>5</v>
      </c>
      <c r="C4" s="8" t="s">
        <v>10</v>
      </c>
      <c r="D4" s="9"/>
      <c r="E4" s="10"/>
      <c r="F4" s="42" t="s">
        <v>3</v>
      </c>
      <c r="G4" s="9"/>
      <c r="H4" s="9"/>
      <c r="I4" s="10"/>
      <c r="J4" s="3"/>
      <c r="K4" s="3"/>
      <c r="L4" s="3"/>
      <c r="M4" s="3"/>
      <c r="N4" s="3"/>
      <c r="O4" s="3"/>
      <c r="P4" s="3"/>
      <c r="Q4" s="3"/>
      <c r="R4" s="3"/>
      <c r="S4" s="3"/>
      <c r="T4" s="3"/>
      <c r="U4" s="3"/>
      <c r="V4" s="3"/>
      <c r="W4" s="3"/>
      <c r="X4" s="3"/>
      <c r="Y4" s="3"/>
      <c r="Z4" s="3"/>
      <c r="AA4" s="3"/>
      <c r="AB4" s="3"/>
    </row>
    <row r="5">
      <c r="A5" s="6" t="s">
        <v>4</v>
      </c>
      <c r="B5" s="7">
        <f>COUNTIFS(D14:D18, "&lt;&gt;", G14:G18, "&lt;&gt;", G14:G18, "&lt;&gt;Pending")</f>
        <v>5</v>
      </c>
      <c r="C5" s="11" t="s">
        <v>656</v>
      </c>
      <c r="D5" s="12"/>
      <c r="E5" s="13"/>
      <c r="F5" s="43" t="s">
        <v>615</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COUNTIF($G$14:$G18,A7)</f>
        <v>4</v>
      </c>
      <c r="C7" s="14"/>
      <c r="E7" s="15"/>
      <c r="F7" s="14"/>
      <c r="I7" s="15"/>
      <c r="J7" s="3"/>
      <c r="K7" s="3"/>
      <c r="L7" s="3"/>
      <c r="M7" s="3"/>
      <c r="N7" s="3"/>
      <c r="O7" s="3"/>
      <c r="P7" s="3"/>
      <c r="Q7" s="3"/>
      <c r="R7" s="3"/>
      <c r="S7" s="3"/>
      <c r="T7" s="3"/>
      <c r="U7" s="3"/>
      <c r="V7" s="3"/>
      <c r="W7" s="3"/>
      <c r="X7" s="3"/>
      <c r="Y7" s="3"/>
      <c r="Z7" s="3"/>
      <c r="AA7" s="3"/>
      <c r="AB7" s="3"/>
    </row>
    <row r="8">
      <c r="A8" s="6" t="s">
        <v>8</v>
      </c>
      <c r="B8" s="7">
        <f t="shared" si="1"/>
        <v>1</v>
      </c>
      <c r="C8" s="14"/>
      <c r="E8" s="15"/>
      <c r="F8" s="14"/>
      <c r="I8" s="15"/>
      <c r="J8" s="3"/>
      <c r="K8" s="3"/>
      <c r="L8" s="3"/>
      <c r="M8" s="3"/>
      <c r="N8" s="3"/>
      <c r="O8" s="3"/>
      <c r="P8" s="3"/>
      <c r="Q8" s="3"/>
      <c r="R8" s="3"/>
      <c r="S8" s="3"/>
      <c r="T8" s="3"/>
      <c r="U8" s="3"/>
      <c r="V8" s="3"/>
      <c r="W8" s="3"/>
      <c r="X8" s="3"/>
      <c r="Y8" s="3"/>
      <c r="Z8" s="3"/>
      <c r="AA8" s="3"/>
      <c r="AB8" s="3"/>
    </row>
    <row r="9">
      <c r="A9" s="6" t="s">
        <v>184</v>
      </c>
      <c r="B9" s="23">
        <f>B7/B5</f>
        <v>0.8</v>
      </c>
      <c r="C9" s="14"/>
      <c r="E9" s="15"/>
      <c r="F9" s="14"/>
      <c r="I9" s="15"/>
      <c r="J9" s="3"/>
      <c r="K9" s="3"/>
      <c r="L9" s="3"/>
      <c r="M9" s="3"/>
      <c r="N9" s="3"/>
      <c r="O9" s="3"/>
      <c r="P9" s="3"/>
      <c r="Q9" s="3"/>
      <c r="R9" s="3"/>
      <c r="S9" s="3"/>
      <c r="T9" s="3"/>
      <c r="U9" s="3"/>
      <c r="V9" s="3"/>
      <c r="W9" s="3"/>
      <c r="X9" s="3"/>
      <c r="Y9" s="3"/>
      <c r="Z9" s="3"/>
      <c r="AA9" s="3"/>
      <c r="AB9" s="3"/>
    </row>
    <row r="10">
      <c r="A10" s="6" t="s">
        <v>9</v>
      </c>
      <c r="B10" s="7">
        <f>SUM(H14:H18)</f>
        <v>1</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44"/>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527</v>
      </c>
      <c r="D12" s="6" t="s">
        <v>186</v>
      </c>
      <c r="E12" s="6" t="s">
        <v>187</v>
      </c>
      <c r="F12" s="45"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25</v>
      </c>
      <c r="B13" s="47" t="s">
        <v>711</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712</v>
      </c>
      <c r="B14" s="19" t="s">
        <v>713</v>
      </c>
      <c r="C14" s="19" t="s">
        <v>195</v>
      </c>
      <c r="D14" s="19" t="s">
        <v>714</v>
      </c>
      <c r="E14" s="19" t="s">
        <v>558</v>
      </c>
      <c r="F14" s="48" t="s">
        <v>715</v>
      </c>
      <c r="G14" s="19" t="s">
        <v>7</v>
      </c>
      <c r="H14" s="19"/>
      <c r="I14" s="20"/>
      <c r="J14" s="3"/>
      <c r="K14" s="3"/>
      <c r="L14" s="3"/>
      <c r="M14" s="3"/>
      <c r="N14" s="3"/>
      <c r="O14" s="3"/>
      <c r="P14" s="3"/>
      <c r="Q14" s="3"/>
      <c r="R14" s="3"/>
      <c r="S14" s="3"/>
      <c r="T14" s="3"/>
      <c r="U14" s="3"/>
      <c r="V14" s="3"/>
      <c r="W14" s="3"/>
      <c r="X14" s="3"/>
      <c r="Y14" s="3"/>
      <c r="Z14" s="3"/>
      <c r="AA14" s="3"/>
      <c r="AB14" s="3"/>
    </row>
    <row r="15">
      <c r="A15" s="19" t="s">
        <v>716</v>
      </c>
      <c r="B15" s="19" t="s">
        <v>717</v>
      </c>
      <c r="C15" s="19" t="s">
        <v>195</v>
      </c>
      <c r="D15" s="19" t="s">
        <v>718</v>
      </c>
      <c r="E15" s="19" t="s">
        <v>558</v>
      </c>
      <c r="F15" s="48" t="s">
        <v>719</v>
      </c>
      <c r="G15" s="19" t="s">
        <v>7</v>
      </c>
      <c r="H15" s="19"/>
      <c r="I15" s="20"/>
      <c r="J15" s="3"/>
      <c r="K15" s="3"/>
      <c r="L15" s="3"/>
      <c r="M15" s="3"/>
      <c r="N15" s="3"/>
      <c r="O15" s="3"/>
      <c r="P15" s="3"/>
      <c r="Q15" s="3"/>
      <c r="R15" s="3"/>
      <c r="S15" s="3"/>
      <c r="T15" s="3"/>
      <c r="U15" s="3"/>
      <c r="V15" s="3"/>
      <c r="W15" s="3"/>
      <c r="X15" s="3"/>
      <c r="Y15" s="3"/>
      <c r="Z15" s="3"/>
      <c r="AA15" s="3"/>
      <c r="AB15" s="3"/>
    </row>
    <row r="16">
      <c r="A16" s="19" t="s">
        <v>720</v>
      </c>
      <c r="B16" s="19" t="s">
        <v>721</v>
      </c>
      <c r="C16" s="19" t="s">
        <v>195</v>
      </c>
      <c r="D16" s="19" t="s">
        <v>722</v>
      </c>
      <c r="E16" s="19" t="s">
        <v>558</v>
      </c>
      <c r="F16" s="48" t="s">
        <v>723</v>
      </c>
      <c r="G16" s="19" t="s">
        <v>7</v>
      </c>
      <c r="H16" s="19"/>
      <c r="I16" s="20"/>
      <c r="J16" s="3"/>
      <c r="K16" s="3"/>
      <c r="L16" s="3"/>
      <c r="M16" s="3"/>
      <c r="N16" s="3"/>
      <c r="O16" s="3"/>
      <c r="P16" s="3"/>
      <c r="Q16" s="3"/>
      <c r="R16" s="3"/>
      <c r="S16" s="3"/>
      <c r="T16" s="3"/>
      <c r="U16" s="3"/>
      <c r="V16" s="3"/>
      <c r="W16" s="3"/>
      <c r="X16" s="3"/>
      <c r="Y16" s="3"/>
      <c r="Z16" s="3"/>
      <c r="AA16" s="3"/>
      <c r="AB16" s="3"/>
    </row>
    <row r="17">
      <c r="A17" s="19" t="s">
        <v>724</v>
      </c>
      <c r="B17" s="19" t="s">
        <v>725</v>
      </c>
      <c r="C17" s="19" t="s">
        <v>201</v>
      </c>
      <c r="D17" s="19" t="s">
        <v>726</v>
      </c>
      <c r="E17" s="19" t="s">
        <v>558</v>
      </c>
      <c r="F17" s="48" t="s">
        <v>727</v>
      </c>
      <c r="G17" s="19" t="s">
        <v>7</v>
      </c>
      <c r="H17" s="19"/>
      <c r="I17" s="20"/>
      <c r="J17" s="3"/>
      <c r="K17" s="3"/>
      <c r="L17" s="3"/>
      <c r="M17" s="3"/>
      <c r="N17" s="3"/>
      <c r="O17" s="3"/>
      <c r="P17" s="3"/>
      <c r="Q17" s="3"/>
      <c r="R17" s="3"/>
      <c r="S17" s="3"/>
      <c r="T17" s="3"/>
      <c r="U17" s="3"/>
      <c r="V17" s="3"/>
      <c r="W17" s="3"/>
      <c r="X17" s="3"/>
      <c r="Y17" s="3"/>
      <c r="Z17" s="3"/>
      <c r="AA17" s="3"/>
      <c r="AB17" s="3"/>
    </row>
    <row r="18">
      <c r="A18" s="19" t="s">
        <v>728</v>
      </c>
      <c r="B18" s="19" t="s">
        <v>729</v>
      </c>
      <c r="C18" s="19" t="s">
        <v>600</v>
      </c>
      <c r="D18" s="19" t="s">
        <v>730</v>
      </c>
      <c r="E18" s="19" t="s">
        <v>558</v>
      </c>
      <c r="F18" s="48" t="s">
        <v>731</v>
      </c>
      <c r="G18" s="19" t="s">
        <v>8</v>
      </c>
      <c r="H18" s="19">
        <v>1.0</v>
      </c>
      <c r="I18" s="19" t="s">
        <v>732</v>
      </c>
      <c r="J18" s="3"/>
      <c r="K18" s="3"/>
      <c r="L18" s="3"/>
      <c r="M18" s="3"/>
      <c r="N18" s="3"/>
      <c r="O18" s="3"/>
      <c r="P18" s="3"/>
      <c r="Q18" s="3"/>
      <c r="R18" s="3"/>
      <c r="S18" s="3"/>
      <c r="T18" s="3"/>
      <c r="U18" s="3"/>
      <c r="V18" s="3"/>
      <c r="W18" s="3"/>
      <c r="X18" s="3"/>
      <c r="Y18" s="3"/>
      <c r="Z18" s="3"/>
      <c r="AA18" s="3"/>
      <c r="AB18" s="3"/>
    </row>
  </sheetData>
  <mergeCells count="8">
    <mergeCell ref="B1:I1"/>
    <mergeCell ref="B2:I2"/>
    <mergeCell ref="B3:I3"/>
    <mergeCell ref="C4:E4"/>
    <mergeCell ref="F4:I4"/>
    <mergeCell ref="C5:E10"/>
    <mergeCell ref="F5:I10"/>
    <mergeCell ref="B13:I13"/>
  </mergeCells>
  <dataValidations>
    <dataValidation type="list" allowBlank="1" showErrorMessage="1" sqref="G14:G18">
      <formula1>'ADMIN-EXP'!$A$6:$A$8</formula1>
    </dataValidation>
    <dataValidation type="list" allowBlank="1" showErrorMessage="1" sqref="C14:C18">
      <formula1>"Positive,Negative,UI/UX"</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19.0"/>
    <col customWidth="1" min="3" max="3" width="16.13"/>
    <col customWidth="1" min="4" max="6" width="32.13"/>
    <col customWidth="1" min="7" max="7" width="16.13"/>
    <col customWidth="1" min="8" max="8" width="8.13"/>
    <col customWidth="1" min="9" max="9" width="32.13"/>
  </cols>
  <sheetData>
    <row r="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c r="A2" s="6" t="s">
        <v>178</v>
      </c>
      <c r="B2" s="22" t="s">
        <v>523</v>
      </c>
      <c r="C2" s="9"/>
      <c r="D2" s="9"/>
      <c r="E2" s="9"/>
      <c r="F2" s="9"/>
      <c r="G2" s="9"/>
      <c r="H2" s="9"/>
      <c r="I2" s="10"/>
      <c r="J2" s="3"/>
      <c r="K2" s="3"/>
      <c r="L2" s="3"/>
      <c r="M2" s="3"/>
      <c r="N2" s="3"/>
      <c r="O2" s="3"/>
      <c r="P2" s="3"/>
      <c r="Q2" s="3"/>
      <c r="R2" s="3"/>
      <c r="S2" s="3"/>
      <c r="T2" s="3"/>
      <c r="U2" s="3"/>
      <c r="V2" s="3"/>
      <c r="W2" s="3"/>
      <c r="X2" s="3"/>
      <c r="Y2" s="3"/>
      <c r="Z2" s="3"/>
      <c r="AA2" s="3"/>
      <c r="AB2" s="3"/>
    </row>
    <row r="3">
      <c r="A3" s="6" t="s">
        <v>180</v>
      </c>
      <c r="B3" s="22" t="s">
        <v>524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COUNTA(D14:D31)</f>
        <v>18</v>
      </c>
      <c r="C4" s="8" t="s">
        <v>10</v>
      </c>
      <c r="D4" s="9"/>
      <c r="E4" s="10"/>
      <c r="F4" s="42" t="s">
        <v>3</v>
      </c>
      <c r="G4" s="9"/>
      <c r="H4" s="9"/>
      <c r="I4" s="10"/>
      <c r="J4" s="3"/>
      <c r="K4" s="3"/>
      <c r="L4" s="3"/>
      <c r="M4" s="3"/>
      <c r="N4" s="3"/>
      <c r="O4" s="3"/>
      <c r="P4" s="3"/>
      <c r="Q4" s="3"/>
      <c r="R4" s="3"/>
      <c r="S4" s="3"/>
      <c r="T4" s="3"/>
      <c r="U4" s="3"/>
      <c r="V4" s="3"/>
      <c r="W4" s="3"/>
      <c r="X4" s="3"/>
      <c r="Y4" s="3"/>
      <c r="Z4" s="3"/>
      <c r="AA4" s="3"/>
      <c r="AB4" s="3"/>
    </row>
    <row r="5">
      <c r="A5" s="6" t="s">
        <v>4</v>
      </c>
      <c r="B5" s="7">
        <f>COUNTIFS(D14:D31, "&lt;&gt;", G14:G31, "&lt;&gt;", G14:G31, "&lt;&gt;Pending")</f>
        <v>18</v>
      </c>
      <c r="C5" s="11" t="s">
        <v>656</v>
      </c>
      <c r="D5" s="12"/>
      <c r="E5" s="13"/>
      <c r="F5" s="43" t="s">
        <v>733</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COUNTIF($G$14:$G31,A7)</f>
        <v>8</v>
      </c>
      <c r="C7" s="14"/>
      <c r="E7" s="15"/>
      <c r="F7" s="14"/>
      <c r="I7" s="15"/>
      <c r="J7" s="3"/>
      <c r="K7" s="3"/>
      <c r="L7" s="3"/>
      <c r="M7" s="3"/>
      <c r="N7" s="3"/>
      <c r="O7" s="3"/>
      <c r="P7" s="3"/>
      <c r="Q7" s="3"/>
      <c r="R7" s="3"/>
      <c r="S7" s="3"/>
      <c r="T7" s="3"/>
      <c r="U7" s="3"/>
      <c r="V7" s="3"/>
      <c r="W7" s="3"/>
      <c r="X7" s="3"/>
      <c r="Y7" s="3"/>
      <c r="Z7" s="3"/>
      <c r="AA7" s="3"/>
      <c r="AB7" s="3"/>
    </row>
    <row r="8">
      <c r="A8" s="6" t="s">
        <v>8</v>
      </c>
      <c r="B8" s="7">
        <f t="shared" si="1"/>
        <v>10</v>
      </c>
      <c r="C8" s="14"/>
      <c r="E8" s="15"/>
      <c r="F8" s="14"/>
      <c r="I8" s="15"/>
      <c r="J8" s="3"/>
      <c r="K8" s="3"/>
      <c r="L8" s="3"/>
      <c r="M8" s="3"/>
      <c r="N8" s="3"/>
      <c r="O8" s="3"/>
      <c r="P8" s="3"/>
      <c r="Q8" s="3"/>
      <c r="R8" s="3"/>
      <c r="S8" s="3"/>
      <c r="T8" s="3"/>
      <c r="U8" s="3"/>
      <c r="V8" s="3"/>
      <c r="W8" s="3"/>
      <c r="X8" s="3"/>
      <c r="Y8" s="3"/>
      <c r="Z8" s="3"/>
      <c r="AA8" s="3"/>
      <c r="AB8" s="3"/>
    </row>
    <row r="9">
      <c r="A9" s="6" t="s">
        <v>184</v>
      </c>
      <c r="B9" s="23">
        <f>B7/B5</f>
        <v>0.4444444444</v>
      </c>
      <c r="C9" s="14"/>
      <c r="E9" s="15"/>
      <c r="F9" s="14"/>
      <c r="I9" s="15"/>
      <c r="J9" s="3"/>
      <c r="K9" s="3"/>
      <c r="L9" s="3"/>
      <c r="M9" s="3"/>
      <c r="N9" s="3"/>
      <c r="O9" s="3"/>
      <c r="P9" s="3"/>
      <c r="Q9" s="3"/>
      <c r="R9" s="3"/>
      <c r="S9" s="3"/>
      <c r="T9" s="3"/>
      <c r="U9" s="3"/>
      <c r="V9" s="3"/>
      <c r="W9" s="3"/>
      <c r="X9" s="3"/>
      <c r="Y9" s="3"/>
      <c r="Z9" s="3"/>
      <c r="AA9" s="3"/>
      <c r="AB9" s="3"/>
    </row>
    <row r="10">
      <c r="A10" s="6" t="s">
        <v>9</v>
      </c>
      <c r="B10" s="7">
        <f>SUM(H14:H31)</f>
        <v>10</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44"/>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527</v>
      </c>
      <c r="D12" s="6" t="s">
        <v>186</v>
      </c>
      <c r="E12" s="6" t="s">
        <v>187</v>
      </c>
      <c r="F12" s="45"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28</v>
      </c>
      <c r="B13" s="47" t="s">
        <v>29</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734</v>
      </c>
      <c r="B14" s="19" t="s">
        <v>735</v>
      </c>
      <c r="C14" s="19" t="s">
        <v>195</v>
      </c>
      <c r="D14" s="19" t="s">
        <v>736</v>
      </c>
      <c r="E14" s="19" t="s">
        <v>737</v>
      </c>
      <c r="F14" s="48" t="s">
        <v>738</v>
      </c>
      <c r="G14" s="19" t="s">
        <v>7</v>
      </c>
      <c r="H14" s="19"/>
      <c r="I14" s="19"/>
      <c r="J14" s="3"/>
      <c r="K14" s="3"/>
      <c r="L14" s="3"/>
      <c r="M14" s="3"/>
      <c r="N14" s="3"/>
      <c r="O14" s="3"/>
      <c r="P14" s="3"/>
      <c r="Q14" s="3"/>
      <c r="R14" s="3"/>
      <c r="S14" s="3"/>
      <c r="T14" s="3"/>
      <c r="U14" s="3"/>
      <c r="V14" s="3"/>
      <c r="W14" s="3"/>
      <c r="X14" s="3"/>
      <c r="Y14" s="3"/>
      <c r="Z14" s="3"/>
      <c r="AA14" s="3"/>
      <c r="AB14" s="3"/>
    </row>
    <row r="15">
      <c r="A15" s="19" t="s">
        <v>739</v>
      </c>
      <c r="B15" s="19" t="s">
        <v>740</v>
      </c>
      <c r="C15" s="19" t="s">
        <v>195</v>
      </c>
      <c r="D15" s="19" t="s">
        <v>741</v>
      </c>
      <c r="E15" s="19" t="s">
        <v>742</v>
      </c>
      <c r="F15" s="48" t="s">
        <v>743</v>
      </c>
      <c r="G15" s="19" t="s">
        <v>7</v>
      </c>
      <c r="H15" s="19"/>
      <c r="I15" s="20"/>
      <c r="J15" s="3"/>
      <c r="K15" s="3"/>
      <c r="L15" s="3"/>
      <c r="M15" s="3"/>
      <c r="N15" s="3"/>
      <c r="O15" s="3"/>
      <c r="P15" s="3"/>
      <c r="Q15" s="3"/>
      <c r="R15" s="3"/>
      <c r="S15" s="3"/>
      <c r="T15" s="3"/>
      <c r="U15" s="3"/>
      <c r="V15" s="3"/>
      <c r="W15" s="3"/>
      <c r="X15" s="3"/>
      <c r="Y15" s="3"/>
      <c r="Z15" s="3"/>
      <c r="AA15" s="3"/>
      <c r="AB15" s="3"/>
    </row>
    <row r="16">
      <c r="A16" s="19" t="s">
        <v>744</v>
      </c>
      <c r="B16" s="19" t="s">
        <v>745</v>
      </c>
      <c r="C16" s="19" t="s">
        <v>201</v>
      </c>
      <c r="D16" s="19" t="s">
        <v>746</v>
      </c>
      <c r="E16" s="19" t="s">
        <v>747</v>
      </c>
      <c r="F16" s="48" t="s">
        <v>748</v>
      </c>
      <c r="G16" s="19" t="s">
        <v>7</v>
      </c>
      <c r="H16" s="19"/>
      <c r="I16" s="20"/>
      <c r="J16" s="3"/>
      <c r="K16" s="3"/>
      <c r="L16" s="3"/>
      <c r="M16" s="3"/>
      <c r="N16" s="3"/>
      <c r="O16" s="3"/>
      <c r="P16" s="3"/>
      <c r="Q16" s="3"/>
      <c r="R16" s="3"/>
      <c r="S16" s="3"/>
      <c r="T16" s="3"/>
      <c r="U16" s="3"/>
      <c r="V16" s="3"/>
      <c r="W16" s="3"/>
      <c r="X16" s="3"/>
      <c r="Y16" s="3"/>
      <c r="Z16" s="3"/>
      <c r="AA16" s="3"/>
      <c r="AB16" s="3"/>
    </row>
    <row r="17">
      <c r="A17" s="19" t="s">
        <v>749</v>
      </c>
      <c r="B17" s="19" t="s">
        <v>750</v>
      </c>
      <c r="C17" s="19" t="s">
        <v>201</v>
      </c>
      <c r="D17" s="19" t="s">
        <v>751</v>
      </c>
      <c r="E17" s="19" t="s">
        <v>752</v>
      </c>
      <c r="F17" s="48" t="s">
        <v>753</v>
      </c>
      <c r="G17" s="19" t="s">
        <v>7</v>
      </c>
      <c r="H17" s="19"/>
      <c r="I17" s="20"/>
      <c r="J17" s="3"/>
      <c r="K17" s="3"/>
      <c r="L17" s="3"/>
      <c r="M17" s="3"/>
      <c r="N17" s="3"/>
      <c r="O17" s="3"/>
      <c r="P17" s="3"/>
      <c r="Q17" s="3"/>
      <c r="R17" s="3"/>
      <c r="S17" s="3"/>
      <c r="T17" s="3"/>
      <c r="U17" s="3"/>
      <c r="V17" s="3"/>
      <c r="W17" s="3"/>
      <c r="X17" s="3"/>
      <c r="Y17" s="3"/>
      <c r="Z17" s="3"/>
      <c r="AA17" s="3"/>
      <c r="AB17" s="3"/>
    </row>
    <row r="18">
      <c r="A18" s="19" t="s">
        <v>754</v>
      </c>
      <c r="B18" s="19" t="s">
        <v>755</v>
      </c>
      <c r="C18" s="19" t="s">
        <v>201</v>
      </c>
      <c r="D18" s="19" t="s">
        <v>756</v>
      </c>
      <c r="E18" s="19" t="s">
        <v>757</v>
      </c>
      <c r="F18" s="48" t="s">
        <v>758</v>
      </c>
      <c r="G18" s="19" t="s">
        <v>8</v>
      </c>
      <c r="H18" s="19">
        <v>1.0</v>
      </c>
      <c r="I18" s="19" t="s">
        <v>759</v>
      </c>
      <c r="J18" s="3"/>
      <c r="K18" s="3"/>
      <c r="L18" s="3"/>
      <c r="M18" s="3"/>
      <c r="N18" s="3"/>
      <c r="O18" s="3"/>
      <c r="P18" s="3"/>
      <c r="Q18" s="3"/>
      <c r="R18" s="3"/>
      <c r="S18" s="3"/>
      <c r="T18" s="3"/>
      <c r="U18" s="3"/>
      <c r="V18" s="3"/>
      <c r="W18" s="3"/>
      <c r="X18" s="3"/>
      <c r="Y18" s="3"/>
      <c r="Z18" s="3"/>
      <c r="AA18" s="3"/>
      <c r="AB18" s="3"/>
    </row>
    <row r="19">
      <c r="A19" s="19" t="s">
        <v>760</v>
      </c>
      <c r="B19" s="19" t="s">
        <v>761</v>
      </c>
      <c r="C19" s="19" t="s">
        <v>201</v>
      </c>
      <c r="D19" s="19" t="s">
        <v>762</v>
      </c>
      <c r="E19" s="19" t="s">
        <v>763</v>
      </c>
      <c r="F19" s="48" t="s">
        <v>764</v>
      </c>
      <c r="G19" s="19" t="s">
        <v>8</v>
      </c>
      <c r="H19" s="19">
        <v>1.0</v>
      </c>
      <c r="I19" s="19" t="s">
        <v>765</v>
      </c>
      <c r="J19" s="3"/>
      <c r="K19" s="3"/>
      <c r="L19" s="3"/>
      <c r="M19" s="3"/>
      <c r="N19" s="3"/>
      <c r="O19" s="3"/>
      <c r="P19" s="3"/>
      <c r="Q19" s="3"/>
      <c r="R19" s="3"/>
      <c r="S19" s="3"/>
      <c r="T19" s="3"/>
      <c r="U19" s="3"/>
      <c r="V19" s="3"/>
      <c r="W19" s="3"/>
      <c r="X19" s="3"/>
      <c r="Y19" s="3"/>
      <c r="Z19" s="3"/>
      <c r="AA19" s="3"/>
      <c r="AB19" s="3"/>
    </row>
    <row r="20">
      <c r="A20" s="19" t="s">
        <v>766</v>
      </c>
      <c r="B20" s="19" t="s">
        <v>767</v>
      </c>
      <c r="C20" s="19" t="s">
        <v>201</v>
      </c>
      <c r="D20" s="19" t="s">
        <v>768</v>
      </c>
      <c r="E20" s="19" t="s">
        <v>769</v>
      </c>
      <c r="F20" s="48" t="s">
        <v>770</v>
      </c>
      <c r="G20" s="19" t="s">
        <v>8</v>
      </c>
      <c r="H20" s="19">
        <v>1.0</v>
      </c>
      <c r="I20" s="19" t="s">
        <v>771</v>
      </c>
      <c r="J20" s="3"/>
      <c r="K20" s="3"/>
      <c r="L20" s="3"/>
      <c r="M20" s="3"/>
      <c r="N20" s="3"/>
      <c r="O20" s="3"/>
      <c r="P20" s="3"/>
      <c r="Q20" s="3"/>
      <c r="R20" s="3"/>
      <c r="S20" s="3"/>
      <c r="T20" s="3"/>
      <c r="U20" s="3"/>
      <c r="V20" s="3"/>
      <c r="W20" s="3"/>
      <c r="X20" s="3"/>
      <c r="Y20" s="3"/>
      <c r="Z20" s="3"/>
      <c r="AA20" s="3"/>
      <c r="AB20" s="3"/>
    </row>
    <row r="21">
      <c r="A21" s="19" t="s">
        <v>772</v>
      </c>
      <c r="B21" s="19" t="s">
        <v>773</v>
      </c>
      <c r="C21" s="19" t="s">
        <v>201</v>
      </c>
      <c r="D21" s="19" t="s">
        <v>774</v>
      </c>
      <c r="E21" s="19" t="s">
        <v>775</v>
      </c>
      <c r="F21" s="48" t="s">
        <v>776</v>
      </c>
      <c r="G21" s="19" t="s">
        <v>8</v>
      </c>
      <c r="H21" s="19">
        <v>1.0</v>
      </c>
      <c r="I21" s="19" t="s">
        <v>777</v>
      </c>
      <c r="J21" s="3"/>
      <c r="K21" s="3"/>
      <c r="L21" s="3"/>
      <c r="M21" s="3"/>
      <c r="N21" s="3"/>
      <c r="O21" s="3"/>
      <c r="P21" s="3"/>
      <c r="Q21" s="3"/>
      <c r="R21" s="3"/>
      <c r="S21" s="3"/>
      <c r="T21" s="3"/>
      <c r="U21" s="3"/>
      <c r="V21" s="3"/>
      <c r="W21" s="3"/>
      <c r="X21" s="3"/>
      <c r="Y21" s="3"/>
      <c r="Z21" s="3"/>
      <c r="AA21" s="3"/>
      <c r="AB21" s="3"/>
    </row>
    <row r="22">
      <c r="A22" s="19" t="s">
        <v>778</v>
      </c>
      <c r="B22" s="19" t="s">
        <v>779</v>
      </c>
      <c r="C22" s="19" t="s">
        <v>600</v>
      </c>
      <c r="D22" s="19" t="s">
        <v>780</v>
      </c>
      <c r="E22" s="19" t="s">
        <v>775</v>
      </c>
      <c r="F22" s="48" t="s">
        <v>781</v>
      </c>
      <c r="G22" s="19" t="s">
        <v>8</v>
      </c>
      <c r="H22" s="19">
        <v>1.0</v>
      </c>
      <c r="I22" s="19" t="s">
        <v>782</v>
      </c>
      <c r="J22" s="3"/>
      <c r="K22" s="3"/>
      <c r="L22" s="3"/>
      <c r="M22" s="3"/>
      <c r="N22" s="3"/>
      <c r="O22" s="3"/>
      <c r="P22" s="3"/>
      <c r="Q22" s="3"/>
      <c r="R22" s="3"/>
      <c r="S22" s="3"/>
      <c r="T22" s="3"/>
      <c r="U22" s="3"/>
      <c r="V22" s="3"/>
      <c r="W22" s="3"/>
      <c r="X22" s="3"/>
      <c r="Y22" s="3"/>
      <c r="Z22" s="3"/>
      <c r="AA22" s="3"/>
      <c r="AB22" s="3"/>
    </row>
    <row r="23">
      <c r="A23" s="19" t="s">
        <v>783</v>
      </c>
      <c r="B23" s="19" t="s">
        <v>784</v>
      </c>
      <c r="C23" s="19" t="s">
        <v>600</v>
      </c>
      <c r="D23" s="19" t="s">
        <v>785</v>
      </c>
      <c r="E23" s="19" t="s">
        <v>558</v>
      </c>
      <c r="F23" s="48" t="s">
        <v>786</v>
      </c>
      <c r="G23" s="19" t="s">
        <v>7</v>
      </c>
      <c r="H23" s="19"/>
      <c r="I23" s="19"/>
      <c r="J23" s="3"/>
      <c r="K23" s="3"/>
      <c r="L23" s="3"/>
      <c r="M23" s="3"/>
      <c r="N23" s="3"/>
      <c r="O23" s="3"/>
      <c r="P23" s="3"/>
      <c r="Q23" s="3"/>
      <c r="R23" s="3"/>
      <c r="S23" s="3"/>
      <c r="T23" s="3"/>
      <c r="U23" s="3"/>
      <c r="V23" s="3"/>
      <c r="W23" s="3"/>
      <c r="X23" s="3"/>
      <c r="Y23" s="3"/>
      <c r="Z23" s="3"/>
      <c r="AA23" s="3"/>
      <c r="AB23" s="3"/>
    </row>
    <row r="24">
      <c r="A24" s="19" t="s">
        <v>787</v>
      </c>
      <c r="B24" s="19" t="s">
        <v>788</v>
      </c>
      <c r="C24" s="19" t="s">
        <v>600</v>
      </c>
      <c r="D24" s="19" t="s">
        <v>789</v>
      </c>
      <c r="E24" s="19" t="s">
        <v>558</v>
      </c>
      <c r="F24" s="48" t="s">
        <v>790</v>
      </c>
      <c r="G24" s="19" t="s">
        <v>8</v>
      </c>
      <c r="H24" s="19">
        <v>1.0</v>
      </c>
      <c r="I24" s="19" t="s">
        <v>791</v>
      </c>
      <c r="J24" s="3"/>
      <c r="K24" s="3"/>
      <c r="L24" s="3"/>
      <c r="M24" s="3"/>
      <c r="N24" s="3"/>
      <c r="O24" s="3"/>
      <c r="P24" s="3"/>
      <c r="Q24" s="3"/>
      <c r="R24" s="3"/>
      <c r="S24" s="3"/>
      <c r="T24" s="3"/>
      <c r="U24" s="3"/>
      <c r="V24" s="3"/>
      <c r="W24" s="3"/>
      <c r="X24" s="3"/>
      <c r="Y24" s="3"/>
      <c r="Z24" s="3"/>
      <c r="AA24" s="3"/>
      <c r="AB24" s="3"/>
    </row>
    <row r="25">
      <c r="A25" s="19" t="s">
        <v>792</v>
      </c>
      <c r="B25" s="19" t="s">
        <v>793</v>
      </c>
      <c r="C25" s="19" t="s">
        <v>600</v>
      </c>
      <c r="D25" s="19" t="s">
        <v>794</v>
      </c>
      <c r="E25" s="19" t="s">
        <v>558</v>
      </c>
      <c r="F25" s="48" t="s">
        <v>795</v>
      </c>
      <c r="G25" s="19" t="s">
        <v>7</v>
      </c>
      <c r="H25" s="19"/>
      <c r="I25" s="20"/>
      <c r="J25" s="3"/>
      <c r="K25" s="3"/>
      <c r="L25" s="3"/>
      <c r="M25" s="3"/>
      <c r="N25" s="3"/>
      <c r="O25" s="3"/>
      <c r="P25" s="3"/>
      <c r="Q25" s="3"/>
      <c r="R25" s="3"/>
      <c r="S25" s="3"/>
      <c r="T25" s="3"/>
      <c r="U25" s="3"/>
      <c r="V25" s="3"/>
      <c r="W25" s="3"/>
      <c r="X25" s="3"/>
      <c r="Y25" s="3"/>
      <c r="Z25" s="3"/>
      <c r="AA25" s="3"/>
      <c r="AB25" s="3"/>
    </row>
    <row r="26">
      <c r="A26" s="19" t="s">
        <v>796</v>
      </c>
      <c r="B26" s="19" t="s">
        <v>797</v>
      </c>
      <c r="C26" s="19" t="s">
        <v>600</v>
      </c>
      <c r="D26" s="19" t="s">
        <v>798</v>
      </c>
      <c r="E26" s="19" t="s">
        <v>799</v>
      </c>
      <c r="F26" s="48" t="s">
        <v>800</v>
      </c>
      <c r="G26" s="19" t="s">
        <v>8</v>
      </c>
      <c r="H26" s="19">
        <v>1.0</v>
      </c>
      <c r="I26" s="19" t="s">
        <v>801</v>
      </c>
      <c r="J26" s="3"/>
      <c r="K26" s="3"/>
      <c r="L26" s="3"/>
      <c r="M26" s="3"/>
      <c r="N26" s="3"/>
      <c r="O26" s="3"/>
      <c r="P26" s="3"/>
      <c r="Q26" s="3"/>
      <c r="R26" s="3"/>
      <c r="S26" s="3"/>
      <c r="T26" s="3"/>
      <c r="U26" s="3"/>
      <c r="V26" s="3"/>
      <c r="W26" s="3"/>
      <c r="X26" s="3"/>
      <c r="Y26" s="3"/>
      <c r="Z26" s="3"/>
      <c r="AA26" s="3"/>
      <c r="AB26" s="3"/>
    </row>
    <row r="27">
      <c r="A27" s="19" t="s">
        <v>802</v>
      </c>
      <c r="B27" s="19" t="s">
        <v>803</v>
      </c>
      <c r="C27" s="19" t="s">
        <v>600</v>
      </c>
      <c r="D27" s="19" t="s">
        <v>804</v>
      </c>
      <c r="E27" s="19" t="s">
        <v>558</v>
      </c>
      <c r="F27" s="48" t="s">
        <v>805</v>
      </c>
      <c r="G27" s="19" t="s">
        <v>7</v>
      </c>
      <c r="H27" s="19"/>
      <c r="I27" s="19"/>
      <c r="J27" s="3"/>
      <c r="K27" s="3"/>
      <c r="L27" s="3"/>
      <c r="M27" s="3"/>
      <c r="N27" s="3"/>
      <c r="O27" s="3"/>
      <c r="P27" s="3"/>
      <c r="Q27" s="3"/>
      <c r="R27" s="3"/>
      <c r="S27" s="3"/>
      <c r="T27" s="3"/>
      <c r="U27" s="3"/>
      <c r="V27" s="3"/>
      <c r="W27" s="3"/>
      <c r="X27" s="3"/>
      <c r="Y27" s="3"/>
      <c r="Z27" s="3"/>
      <c r="AA27" s="3"/>
      <c r="AB27" s="3"/>
    </row>
    <row r="28">
      <c r="A28" s="19" t="s">
        <v>806</v>
      </c>
      <c r="B28" s="19" t="s">
        <v>807</v>
      </c>
      <c r="C28" s="19" t="s">
        <v>600</v>
      </c>
      <c r="D28" s="19" t="s">
        <v>808</v>
      </c>
      <c r="E28" s="19" t="s">
        <v>809</v>
      </c>
      <c r="F28" s="48" t="s">
        <v>810</v>
      </c>
      <c r="G28" s="19" t="s">
        <v>8</v>
      </c>
      <c r="H28" s="19">
        <v>1.0</v>
      </c>
      <c r="I28" s="19" t="s">
        <v>811</v>
      </c>
      <c r="J28" s="3"/>
      <c r="K28" s="3"/>
      <c r="L28" s="3"/>
      <c r="M28" s="3"/>
      <c r="N28" s="3"/>
      <c r="O28" s="3"/>
      <c r="P28" s="3"/>
      <c r="Q28" s="3"/>
      <c r="R28" s="3"/>
      <c r="S28" s="3"/>
      <c r="T28" s="3"/>
      <c r="U28" s="3"/>
      <c r="V28" s="3"/>
      <c r="W28" s="3"/>
      <c r="X28" s="3"/>
      <c r="Y28" s="3"/>
      <c r="Z28" s="3"/>
      <c r="AA28" s="3"/>
      <c r="AB28" s="3"/>
    </row>
    <row r="29">
      <c r="A29" s="19" t="s">
        <v>812</v>
      </c>
      <c r="B29" s="19" t="s">
        <v>813</v>
      </c>
      <c r="C29" s="19" t="s">
        <v>600</v>
      </c>
      <c r="D29" s="19" t="s">
        <v>814</v>
      </c>
      <c r="E29" s="19" t="s">
        <v>558</v>
      </c>
      <c r="F29" s="48" t="s">
        <v>815</v>
      </c>
      <c r="G29" s="19" t="s">
        <v>7</v>
      </c>
      <c r="H29" s="19"/>
      <c r="I29" s="19"/>
      <c r="J29" s="3"/>
      <c r="K29" s="3"/>
      <c r="L29" s="3"/>
      <c r="M29" s="3"/>
      <c r="N29" s="3"/>
      <c r="O29" s="3"/>
      <c r="P29" s="3"/>
      <c r="Q29" s="3"/>
      <c r="R29" s="3"/>
      <c r="S29" s="3"/>
      <c r="T29" s="3"/>
      <c r="U29" s="3"/>
      <c r="V29" s="3"/>
      <c r="W29" s="3"/>
      <c r="X29" s="3"/>
      <c r="Y29" s="3"/>
      <c r="Z29" s="3"/>
      <c r="AA29" s="3"/>
      <c r="AB29" s="3"/>
    </row>
    <row r="30">
      <c r="A30" s="19" t="s">
        <v>816</v>
      </c>
      <c r="B30" s="19" t="s">
        <v>817</v>
      </c>
      <c r="C30" s="19" t="s">
        <v>600</v>
      </c>
      <c r="D30" s="19" t="s">
        <v>818</v>
      </c>
      <c r="E30" s="19" t="s">
        <v>819</v>
      </c>
      <c r="F30" s="48" t="s">
        <v>820</v>
      </c>
      <c r="G30" s="19" t="s">
        <v>8</v>
      </c>
      <c r="H30" s="19">
        <v>1.0</v>
      </c>
      <c r="I30" s="19" t="s">
        <v>821</v>
      </c>
      <c r="J30" s="3"/>
      <c r="K30" s="3"/>
      <c r="L30" s="3"/>
      <c r="M30" s="3"/>
      <c r="N30" s="3"/>
      <c r="O30" s="3"/>
      <c r="P30" s="3"/>
      <c r="Q30" s="3"/>
      <c r="R30" s="3"/>
      <c r="S30" s="3"/>
      <c r="T30" s="3"/>
      <c r="U30" s="3"/>
      <c r="V30" s="3"/>
      <c r="W30" s="3"/>
      <c r="X30" s="3"/>
      <c r="Y30" s="3"/>
      <c r="Z30" s="3"/>
      <c r="AA30" s="3"/>
      <c r="AB30" s="3"/>
    </row>
    <row r="31">
      <c r="A31" s="19" t="s">
        <v>822</v>
      </c>
      <c r="B31" s="19" t="s">
        <v>823</v>
      </c>
      <c r="C31" s="19" t="s">
        <v>600</v>
      </c>
      <c r="D31" s="19" t="s">
        <v>824</v>
      </c>
      <c r="E31" s="19" t="s">
        <v>825</v>
      </c>
      <c r="F31" s="48" t="s">
        <v>826</v>
      </c>
      <c r="G31" s="19" t="s">
        <v>8</v>
      </c>
      <c r="H31" s="19">
        <v>1.0</v>
      </c>
      <c r="I31" s="19" t="s">
        <v>827</v>
      </c>
      <c r="J31" s="3"/>
      <c r="K31" s="3"/>
      <c r="L31" s="3"/>
      <c r="M31" s="3"/>
      <c r="N31" s="3"/>
      <c r="O31" s="3"/>
      <c r="P31" s="3"/>
      <c r="Q31" s="3"/>
      <c r="R31" s="3"/>
      <c r="S31" s="3"/>
      <c r="T31" s="3"/>
      <c r="U31" s="3"/>
      <c r="V31" s="3"/>
      <c r="W31" s="3"/>
      <c r="X31" s="3"/>
      <c r="Y31" s="3"/>
      <c r="Z31" s="3"/>
      <c r="AA31" s="3"/>
      <c r="AB31" s="3"/>
    </row>
  </sheetData>
  <mergeCells count="8">
    <mergeCell ref="B1:I1"/>
    <mergeCell ref="B2:I2"/>
    <mergeCell ref="B3:I3"/>
    <mergeCell ref="C4:E4"/>
    <mergeCell ref="F4:I4"/>
    <mergeCell ref="C5:E10"/>
    <mergeCell ref="F5:I10"/>
    <mergeCell ref="B13:I13"/>
  </mergeCells>
  <dataValidations>
    <dataValidation type="list" allowBlank="1" showErrorMessage="1" sqref="G14:G31">
      <formula1>'ADMIN-IMP'!$A$6:$A$8</formula1>
    </dataValidation>
    <dataValidation type="list" allowBlank="1" showErrorMessage="1" sqref="C14:C31">
      <formula1>"Positive,Negative,UI/UX"</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23.5"/>
    <col customWidth="1" min="3" max="3" width="16.13"/>
    <col customWidth="1" min="4" max="6" width="32.13"/>
    <col customWidth="1" min="7" max="7" width="16.13"/>
    <col customWidth="1" min="8" max="8" width="8.13"/>
    <col customWidth="1" min="9" max="9" width="32.13"/>
  </cols>
  <sheetData>
    <row r="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c r="A2" s="6" t="s">
        <v>178</v>
      </c>
      <c r="B2" s="22" t="s">
        <v>523</v>
      </c>
      <c r="C2" s="9"/>
      <c r="D2" s="9"/>
      <c r="E2" s="9"/>
      <c r="F2" s="9"/>
      <c r="G2" s="9"/>
      <c r="H2" s="9"/>
      <c r="I2" s="10"/>
      <c r="J2" s="3"/>
      <c r="K2" s="3"/>
      <c r="L2" s="3"/>
      <c r="M2" s="3"/>
      <c r="N2" s="3"/>
      <c r="O2" s="3"/>
      <c r="P2" s="3"/>
      <c r="Q2" s="3"/>
      <c r="R2" s="3"/>
      <c r="S2" s="3"/>
      <c r="T2" s="3"/>
      <c r="U2" s="3"/>
      <c r="V2" s="3"/>
      <c r="W2" s="3"/>
      <c r="X2" s="3"/>
      <c r="Y2" s="3"/>
      <c r="Z2" s="3"/>
      <c r="AA2" s="3"/>
      <c r="AB2" s="3"/>
    </row>
    <row r="3">
      <c r="A3" s="6" t="s">
        <v>180</v>
      </c>
      <c r="B3" s="22" t="s">
        <v>524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COUNTA(D14:D22)</f>
        <v>9</v>
      </c>
      <c r="C4" s="8" t="s">
        <v>10</v>
      </c>
      <c r="D4" s="9"/>
      <c r="E4" s="10"/>
      <c r="F4" s="42" t="s">
        <v>3</v>
      </c>
      <c r="G4" s="9"/>
      <c r="H4" s="9"/>
      <c r="I4" s="10"/>
      <c r="J4" s="3"/>
      <c r="K4" s="3"/>
      <c r="L4" s="3"/>
      <c r="M4" s="3"/>
      <c r="N4" s="3"/>
      <c r="O4" s="3"/>
      <c r="P4" s="3"/>
      <c r="Q4" s="3"/>
      <c r="R4" s="3"/>
      <c r="S4" s="3"/>
      <c r="T4" s="3"/>
      <c r="U4" s="3"/>
      <c r="V4" s="3"/>
      <c r="W4" s="3"/>
      <c r="X4" s="3"/>
      <c r="Y4" s="3"/>
      <c r="Z4" s="3"/>
      <c r="AA4" s="3"/>
      <c r="AB4" s="3"/>
    </row>
    <row r="5">
      <c r="A5" s="6" t="s">
        <v>4</v>
      </c>
      <c r="B5" s="7">
        <f>COUNTIFS(D14:D22, "&lt;&gt;", G14:G22, "&lt;&gt;", G14:G22, "&lt;&gt;Pending")</f>
        <v>9</v>
      </c>
      <c r="C5" s="11" t="s">
        <v>656</v>
      </c>
      <c r="D5" s="12"/>
      <c r="E5" s="13"/>
      <c r="F5" s="43" t="s">
        <v>828</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COUNTIF($G$14:$G22,A7)</f>
        <v>4</v>
      </c>
      <c r="C7" s="14"/>
      <c r="E7" s="15"/>
      <c r="F7" s="14"/>
      <c r="I7" s="15"/>
      <c r="J7" s="3"/>
      <c r="K7" s="3"/>
      <c r="L7" s="3"/>
      <c r="M7" s="3"/>
      <c r="N7" s="3"/>
      <c r="O7" s="3"/>
      <c r="P7" s="3"/>
      <c r="Q7" s="3"/>
      <c r="R7" s="3"/>
      <c r="S7" s="3"/>
      <c r="T7" s="3"/>
      <c r="U7" s="3"/>
      <c r="V7" s="3"/>
      <c r="W7" s="3"/>
      <c r="X7" s="3"/>
      <c r="Y7" s="3"/>
      <c r="Z7" s="3"/>
      <c r="AA7" s="3"/>
      <c r="AB7" s="3"/>
    </row>
    <row r="8">
      <c r="A8" s="6" t="s">
        <v>8</v>
      </c>
      <c r="B8" s="7">
        <f t="shared" si="1"/>
        <v>5</v>
      </c>
      <c r="C8" s="14"/>
      <c r="E8" s="15"/>
      <c r="F8" s="14"/>
      <c r="I8" s="15"/>
      <c r="J8" s="3"/>
      <c r="K8" s="3"/>
      <c r="L8" s="3"/>
      <c r="M8" s="3"/>
      <c r="N8" s="3"/>
      <c r="O8" s="3"/>
      <c r="P8" s="3"/>
      <c r="Q8" s="3"/>
      <c r="R8" s="3"/>
      <c r="S8" s="3"/>
      <c r="T8" s="3"/>
      <c r="U8" s="3"/>
      <c r="V8" s="3"/>
      <c r="W8" s="3"/>
      <c r="X8" s="3"/>
      <c r="Y8" s="3"/>
      <c r="Z8" s="3"/>
      <c r="AA8" s="3"/>
      <c r="AB8" s="3"/>
    </row>
    <row r="9">
      <c r="A9" s="6" t="s">
        <v>184</v>
      </c>
      <c r="B9" s="23">
        <f>B7/B5</f>
        <v>0.4444444444</v>
      </c>
      <c r="C9" s="14"/>
      <c r="E9" s="15"/>
      <c r="F9" s="14"/>
      <c r="I9" s="15"/>
      <c r="J9" s="3"/>
      <c r="K9" s="3"/>
      <c r="L9" s="3"/>
      <c r="M9" s="3"/>
      <c r="N9" s="3"/>
      <c r="O9" s="3"/>
      <c r="P9" s="3"/>
      <c r="Q9" s="3"/>
      <c r="R9" s="3"/>
      <c r="S9" s="3"/>
      <c r="T9" s="3"/>
      <c r="U9" s="3"/>
      <c r="V9" s="3"/>
      <c r="W9" s="3"/>
      <c r="X9" s="3"/>
      <c r="Y9" s="3"/>
      <c r="Z9" s="3"/>
      <c r="AA9" s="3"/>
      <c r="AB9" s="3"/>
    </row>
    <row r="10">
      <c r="A10" s="6" t="s">
        <v>9</v>
      </c>
      <c r="B10" s="7">
        <f>SUM(H14:H22)</f>
        <v>5</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44"/>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527</v>
      </c>
      <c r="D12" s="6" t="s">
        <v>186</v>
      </c>
      <c r="E12" s="6" t="s">
        <v>187</v>
      </c>
      <c r="F12" s="45"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31</v>
      </c>
      <c r="B13" s="47" t="s">
        <v>829</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783</v>
      </c>
      <c r="B14" s="19" t="s">
        <v>784</v>
      </c>
      <c r="C14" s="19" t="s">
        <v>600</v>
      </c>
      <c r="D14" s="19" t="s">
        <v>785</v>
      </c>
      <c r="E14" s="19" t="s">
        <v>558</v>
      </c>
      <c r="F14" s="48" t="s">
        <v>786</v>
      </c>
      <c r="G14" s="19" t="s">
        <v>7</v>
      </c>
      <c r="H14" s="19"/>
      <c r="I14" s="19"/>
      <c r="J14" s="3"/>
      <c r="K14" s="3"/>
      <c r="L14" s="3"/>
      <c r="M14" s="3"/>
      <c r="N14" s="3"/>
      <c r="O14" s="3"/>
      <c r="P14" s="3"/>
      <c r="Q14" s="3"/>
      <c r="R14" s="3"/>
      <c r="S14" s="3"/>
      <c r="T14" s="3"/>
      <c r="U14" s="3"/>
      <c r="V14" s="3"/>
      <c r="W14" s="3"/>
      <c r="X14" s="3"/>
      <c r="Y14" s="3"/>
      <c r="Z14" s="3"/>
      <c r="AA14" s="3"/>
      <c r="AB14" s="3"/>
    </row>
    <row r="15">
      <c r="A15" s="19" t="s">
        <v>787</v>
      </c>
      <c r="B15" s="19" t="s">
        <v>788</v>
      </c>
      <c r="C15" s="19" t="s">
        <v>600</v>
      </c>
      <c r="D15" s="19" t="s">
        <v>789</v>
      </c>
      <c r="E15" s="19" t="s">
        <v>558</v>
      </c>
      <c r="F15" s="48" t="s">
        <v>790</v>
      </c>
      <c r="G15" s="19" t="s">
        <v>8</v>
      </c>
      <c r="H15" s="19">
        <v>1.0</v>
      </c>
      <c r="I15" s="19" t="s">
        <v>791</v>
      </c>
      <c r="J15" s="3"/>
      <c r="K15" s="3"/>
      <c r="L15" s="3"/>
      <c r="M15" s="3"/>
      <c r="N15" s="3"/>
      <c r="O15" s="3"/>
      <c r="P15" s="3"/>
      <c r="Q15" s="3"/>
      <c r="R15" s="3"/>
      <c r="S15" s="3"/>
      <c r="T15" s="3"/>
      <c r="U15" s="3"/>
      <c r="V15" s="3"/>
      <c r="W15" s="3"/>
      <c r="X15" s="3"/>
      <c r="Y15" s="3"/>
      <c r="Z15" s="3"/>
      <c r="AA15" s="3"/>
      <c r="AB15" s="3"/>
    </row>
    <row r="16">
      <c r="A16" s="19" t="s">
        <v>792</v>
      </c>
      <c r="B16" s="19" t="s">
        <v>793</v>
      </c>
      <c r="C16" s="19" t="s">
        <v>600</v>
      </c>
      <c r="D16" s="19" t="s">
        <v>794</v>
      </c>
      <c r="E16" s="19" t="s">
        <v>558</v>
      </c>
      <c r="F16" s="48" t="s">
        <v>795</v>
      </c>
      <c r="G16" s="19" t="s">
        <v>7</v>
      </c>
      <c r="H16" s="19"/>
      <c r="I16" s="20"/>
      <c r="J16" s="3"/>
      <c r="K16" s="3"/>
      <c r="L16" s="3"/>
      <c r="M16" s="3"/>
      <c r="N16" s="3"/>
      <c r="O16" s="3"/>
      <c r="P16" s="3"/>
      <c r="Q16" s="3"/>
      <c r="R16" s="3"/>
      <c r="S16" s="3"/>
      <c r="T16" s="3"/>
      <c r="U16" s="3"/>
      <c r="V16" s="3"/>
      <c r="W16" s="3"/>
      <c r="X16" s="3"/>
      <c r="Y16" s="3"/>
      <c r="Z16" s="3"/>
      <c r="AA16" s="3"/>
      <c r="AB16" s="3"/>
    </row>
    <row r="17">
      <c r="A17" s="19" t="s">
        <v>796</v>
      </c>
      <c r="B17" s="19" t="s">
        <v>797</v>
      </c>
      <c r="C17" s="19" t="s">
        <v>201</v>
      </c>
      <c r="D17" s="19" t="s">
        <v>798</v>
      </c>
      <c r="E17" s="19" t="s">
        <v>799</v>
      </c>
      <c r="F17" s="48" t="s">
        <v>800</v>
      </c>
      <c r="G17" s="19" t="s">
        <v>8</v>
      </c>
      <c r="H17" s="19">
        <v>1.0</v>
      </c>
      <c r="I17" s="19" t="s">
        <v>801</v>
      </c>
      <c r="J17" s="3"/>
      <c r="K17" s="3"/>
      <c r="L17" s="3"/>
      <c r="M17" s="3"/>
      <c r="N17" s="3"/>
      <c r="O17" s="3"/>
      <c r="P17" s="3"/>
      <c r="Q17" s="3"/>
      <c r="R17" s="3"/>
      <c r="S17" s="3"/>
      <c r="T17" s="3"/>
      <c r="U17" s="3"/>
      <c r="V17" s="3"/>
      <c r="W17" s="3"/>
      <c r="X17" s="3"/>
      <c r="Y17" s="3"/>
      <c r="Z17" s="3"/>
      <c r="AA17" s="3"/>
      <c r="AB17" s="3"/>
    </row>
    <row r="18">
      <c r="A18" s="19" t="s">
        <v>802</v>
      </c>
      <c r="B18" s="19" t="s">
        <v>803</v>
      </c>
      <c r="C18" s="19" t="s">
        <v>600</v>
      </c>
      <c r="D18" s="19" t="s">
        <v>804</v>
      </c>
      <c r="E18" s="19" t="s">
        <v>558</v>
      </c>
      <c r="F18" s="48" t="s">
        <v>805</v>
      </c>
      <c r="G18" s="19" t="s">
        <v>7</v>
      </c>
      <c r="H18" s="19"/>
      <c r="I18" s="19"/>
      <c r="J18" s="3"/>
      <c r="K18" s="3"/>
      <c r="L18" s="3"/>
      <c r="M18" s="3"/>
      <c r="N18" s="3"/>
      <c r="O18" s="3"/>
      <c r="P18" s="3"/>
      <c r="Q18" s="3"/>
      <c r="R18" s="3"/>
      <c r="S18" s="3"/>
      <c r="T18" s="3"/>
      <c r="U18" s="3"/>
      <c r="V18" s="3"/>
      <c r="W18" s="3"/>
      <c r="X18" s="3"/>
      <c r="Y18" s="3"/>
      <c r="Z18" s="3"/>
      <c r="AA18" s="3"/>
      <c r="AB18" s="3"/>
    </row>
    <row r="19">
      <c r="A19" s="19" t="s">
        <v>806</v>
      </c>
      <c r="B19" s="19" t="s">
        <v>807</v>
      </c>
      <c r="C19" s="19" t="s">
        <v>600</v>
      </c>
      <c r="D19" s="19" t="s">
        <v>808</v>
      </c>
      <c r="E19" s="19" t="s">
        <v>809</v>
      </c>
      <c r="F19" s="48" t="s">
        <v>810</v>
      </c>
      <c r="G19" s="19" t="s">
        <v>8</v>
      </c>
      <c r="H19" s="19">
        <v>1.0</v>
      </c>
      <c r="I19" s="19" t="s">
        <v>811</v>
      </c>
      <c r="J19" s="3"/>
      <c r="K19" s="3"/>
      <c r="L19" s="3"/>
      <c r="M19" s="3"/>
      <c r="N19" s="3"/>
      <c r="O19" s="3"/>
      <c r="P19" s="3"/>
      <c r="Q19" s="3"/>
      <c r="R19" s="3"/>
      <c r="S19" s="3"/>
      <c r="T19" s="3"/>
      <c r="U19" s="3"/>
      <c r="V19" s="3"/>
      <c r="W19" s="3"/>
      <c r="X19" s="3"/>
      <c r="Y19" s="3"/>
      <c r="Z19" s="3"/>
      <c r="AA19" s="3"/>
      <c r="AB19" s="3"/>
    </row>
    <row r="20">
      <c r="A20" s="19" t="s">
        <v>812</v>
      </c>
      <c r="B20" s="19" t="s">
        <v>813</v>
      </c>
      <c r="C20" s="19" t="s">
        <v>201</v>
      </c>
      <c r="D20" s="19" t="s">
        <v>814</v>
      </c>
      <c r="E20" s="19" t="s">
        <v>558</v>
      </c>
      <c r="F20" s="48" t="s">
        <v>815</v>
      </c>
      <c r="G20" s="19" t="s">
        <v>7</v>
      </c>
      <c r="H20" s="19"/>
      <c r="I20" s="19"/>
      <c r="J20" s="3"/>
      <c r="K20" s="3"/>
      <c r="L20" s="3"/>
      <c r="M20" s="3"/>
      <c r="N20" s="3"/>
      <c r="O20" s="3"/>
      <c r="P20" s="3"/>
      <c r="Q20" s="3"/>
      <c r="R20" s="3"/>
      <c r="S20" s="3"/>
      <c r="T20" s="3"/>
      <c r="U20" s="3"/>
      <c r="V20" s="3"/>
      <c r="W20" s="3"/>
      <c r="X20" s="3"/>
      <c r="Y20" s="3"/>
      <c r="Z20" s="3"/>
      <c r="AA20" s="3"/>
      <c r="AB20" s="3"/>
    </row>
    <row r="21">
      <c r="A21" s="19" t="s">
        <v>816</v>
      </c>
      <c r="B21" s="19" t="s">
        <v>817</v>
      </c>
      <c r="C21" s="19" t="s">
        <v>201</v>
      </c>
      <c r="D21" s="19" t="s">
        <v>818</v>
      </c>
      <c r="E21" s="19" t="s">
        <v>819</v>
      </c>
      <c r="F21" s="48" t="s">
        <v>820</v>
      </c>
      <c r="G21" s="19" t="s">
        <v>8</v>
      </c>
      <c r="H21" s="19">
        <v>1.0</v>
      </c>
      <c r="I21" s="19" t="s">
        <v>821</v>
      </c>
      <c r="J21" s="3"/>
      <c r="K21" s="3"/>
      <c r="L21" s="3"/>
      <c r="M21" s="3"/>
      <c r="N21" s="3"/>
      <c r="O21" s="3"/>
      <c r="P21" s="3"/>
      <c r="Q21" s="3"/>
      <c r="R21" s="3"/>
      <c r="S21" s="3"/>
      <c r="T21" s="3"/>
      <c r="U21" s="3"/>
      <c r="V21" s="3"/>
      <c r="W21" s="3"/>
      <c r="X21" s="3"/>
      <c r="Y21" s="3"/>
      <c r="Z21" s="3"/>
      <c r="AA21" s="3"/>
      <c r="AB21" s="3"/>
    </row>
    <row r="22">
      <c r="A22" s="19" t="s">
        <v>822</v>
      </c>
      <c r="B22" s="19" t="s">
        <v>823</v>
      </c>
      <c r="C22" s="19" t="s">
        <v>201</v>
      </c>
      <c r="D22" s="19" t="s">
        <v>824</v>
      </c>
      <c r="E22" s="19" t="s">
        <v>825</v>
      </c>
      <c r="F22" s="48" t="s">
        <v>826</v>
      </c>
      <c r="G22" s="19" t="s">
        <v>8</v>
      </c>
      <c r="H22" s="19">
        <v>1.0</v>
      </c>
      <c r="I22" s="19" t="s">
        <v>827</v>
      </c>
      <c r="J22" s="3"/>
      <c r="K22" s="3"/>
      <c r="L22" s="3"/>
      <c r="M22" s="3"/>
      <c r="N22" s="3"/>
      <c r="O22" s="3"/>
      <c r="P22" s="3"/>
      <c r="Q22" s="3"/>
      <c r="R22" s="3"/>
      <c r="S22" s="3"/>
      <c r="T22" s="3"/>
      <c r="U22" s="3"/>
      <c r="V22" s="3"/>
      <c r="W22" s="3"/>
      <c r="X22" s="3"/>
      <c r="Y22" s="3"/>
      <c r="Z22" s="3"/>
      <c r="AA22" s="3"/>
      <c r="AB22" s="3"/>
    </row>
  </sheetData>
  <mergeCells count="8">
    <mergeCell ref="B1:I1"/>
    <mergeCell ref="B2:I2"/>
    <mergeCell ref="B3:I3"/>
    <mergeCell ref="C4:E4"/>
    <mergeCell ref="F4:I4"/>
    <mergeCell ref="C5:E10"/>
    <mergeCell ref="F5:I10"/>
    <mergeCell ref="B13:I13"/>
  </mergeCells>
  <dataValidations>
    <dataValidation type="list" allowBlank="1" showErrorMessage="1" sqref="C14:C22">
      <formula1>"Positive,Negative,UI/UX"</formula1>
    </dataValidation>
    <dataValidation type="list" allowBlank="1" showErrorMessage="1" sqref="G14:G22">
      <formula1>'USER-FC'!$A$6:$A$8</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c r="A2" s="6" t="s">
        <v>178</v>
      </c>
      <c r="B2" s="22" t="s">
        <v>830</v>
      </c>
      <c r="C2" s="9"/>
      <c r="D2" s="9"/>
      <c r="E2" s="9"/>
      <c r="F2" s="9"/>
      <c r="G2" s="9"/>
      <c r="H2" s="9"/>
      <c r="I2" s="10"/>
      <c r="J2" s="3"/>
      <c r="K2" s="3"/>
      <c r="L2" s="3"/>
      <c r="M2" s="3"/>
      <c r="N2" s="3"/>
      <c r="O2" s="3"/>
      <c r="P2" s="3"/>
      <c r="Q2" s="3"/>
      <c r="R2" s="3"/>
      <c r="S2" s="3"/>
      <c r="T2" s="3"/>
      <c r="U2" s="3"/>
      <c r="V2" s="3"/>
      <c r="W2" s="3"/>
      <c r="X2" s="3"/>
      <c r="Y2" s="3"/>
      <c r="Z2" s="3"/>
      <c r="AA2" s="3"/>
      <c r="AB2" s="3"/>
    </row>
    <row r="3">
      <c r="A3" s="6" t="s">
        <v>180</v>
      </c>
      <c r="B3" s="22" t="s">
        <v>831</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COUNTA(D13:D113)</f>
        <v>6</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COUNTIFS(D13:D113, "&lt;&gt;", G13:G113, "&lt;&gt;Pending") </f>
        <v>6</v>
      </c>
      <c r="C5" s="11" t="s">
        <v>832</v>
      </c>
      <c r="D5" s="12"/>
      <c r="E5" s="13"/>
      <c r="F5" s="11" t="s">
        <v>833</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COUNTIF($G$13:$G113,A7)</f>
        <v>4</v>
      </c>
      <c r="C7" s="14"/>
      <c r="E7" s="15"/>
      <c r="F7" s="14"/>
      <c r="I7" s="15"/>
      <c r="J7" s="3"/>
      <c r="K7" s="3"/>
      <c r="L7" s="3"/>
      <c r="M7" s="3"/>
      <c r="N7" s="3"/>
      <c r="O7" s="3"/>
      <c r="P7" s="3"/>
      <c r="Q7" s="3"/>
      <c r="R7" s="3"/>
      <c r="S7" s="3"/>
      <c r="T7" s="3"/>
      <c r="U7" s="3"/>
      <c r="V7" s="3"/>
      <c r="W7" s="3"/>
      <c r="X7" s="3"/>
      <c r="Y7" s="3"/>
      <c r="Z7" s="3"/>
      <c r="AA7" s="3"/>
      <c r="AB7" s="3"/>
    </row>
    <row r="8">
      <c r="A8" s="6" t="s">
        <v>8</v>
      </c>
      <c r="B8" s="7">
        <f t="shared" si="1"/>
        <v>2</v>
      </c>
      <c r="C8" s="14"/>
      <c r="E8" s="15"/>
      <c r="F8" s="14"/>
      <c r="I8" s="15"/>
      <c r="J8" s="3"/>
      <c r="K8" s="3"/>
      <c r="L8" s="3"/>
      <c r="M8" s="3"/>
      <c r="N8" s="3"/>
      <c r="O8" s="3"/>
      <c r="P8" s="3"/>
      <c r="Q8" s="3"/>
      <c r="R8" s="3"/>
      <c r="S8" s="3"/>
      <c r="T8" s="3"/>
      <c r="U8" s="3"/>
      <c r="V8" s="3"/>
      <c r="W8" s="3"/>
      <c r="X8" s="3"/>
      <c r="Y8" s="3"/>
      <c r="Z8" s="3"/>
      <c r="AA8" s="3"/>
      <c r="AB8" s="3"/>
    </row>
    <row r="9">
      <c r="A9" s="6" t="s">
        <v>184</v>
      </c>
      <c r="B9" s="23">
        <f>B7/B4</f>
        <v>0.6666666667</v>
      </c>
      <c r="C9" s="14"/>
      <c r="E9" s="15"/>
      <c r="F9" s="14"/>
      <c r="I9" s="15"/>
      <c r="J9" s="3"/>
      <c r="K9" s="3"/>
      <c r="L9" s="3"/>
      <c r="M9" s="3"/>
      <c r="N9" s="3"/>
      <c r="O9" s="3"/>
      <c r="P9" s="3"/>
      <c r="Q9" s="3"/>
      <c r="R9" s="3"/>
      <c r="S9" s="3"/>
      <c r="T9" s="3"/>
      <c r="U9" s="3"/>
      <c r="V9" s="3"/>
      <c r="W9" s="3"/>
      <c r="X9" s="3"/>
      <c r="Y9" s="3"/>
      <c r="Z9" s="3"/>
      <c r="AA9" s="3"/>
      <c r="AB9" s="3"/>
    </row>
    <row r="10">
      <c r="A10" s="6" t="s">
        <v>9</v>
      </c>
      <c r="B10" s="7">
        <f>SUM(H13:H113)</f>
        <v>2</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52" t="s">
        <v>61</v>
      </c>
      <c r="B13" s="53" t="s">
        <v>835</v>
      </c>
      <c r="C13" s="9"/>
      <c r="D13" s="9"/>
      <c r="E13" s="53"/>
      <c r="F13" s="53"/>
      <c r="G13" s="53"/>
      <c r="H13" s="53"/>
      <c r="I13" s="54"/>
      <c r="J13" s="3"/>
      <c r="K13" s="3"/>
      <c r="L13" s="3"/>
      <c r="M13" s="3"/>
      <c r="N13" s="3"/>
      <c r="O13" s="3"/>
      <c r="P13" s="3"/>
      <c r="Q13" s="3"/>
      <c r="R13" s="3"/>
      <c r="S13" s="3"/>
      <c r="T13" s="3"/>
      <c r="U13" s="3"/>
      <c r="V13" s="3"/>
      <c r="W13" s="3"/>
      <c r="X13" s="3"/>
      <c r="Y13" s="3"/>
      <c r="Z13" s="3"/>
      <c r="AA13" s="3"/>
      <c r="AB13" s="3"/>
    </row>
    <row r="14">
      <c r="A14" s="19" t="s">
        <v>836</v>
      </c>
      <c r="B14" s="55" t="s">
        <v>837</v>
      </c>
      <c r="C14" s="19" t="s">
        <v>195</v>
      </c>
      <c r="D14" s="19" t="s">
        <v>838</v>
      </c>
      <c r="E14" s="19" t="s">
        <v>839</v>
      </c>
      <c r="F14" s="19" t="s">
        <v>840</v>
      </c>
      <c r="G14" s="19" t="s">
        <v>7</v>
      </c>
      <c r="H14" s="20"/>
      <c r="I14" s="20"/>
      <c r="J14" s="3"/>
      <c r="K14" s="3"/>
      <c r="L14" s="3"/>
      <c r="M14" s="3"/>
      <c r="N14" s="3"/>
      <c r="O14" s="3"/>
      <c r="P14" s="3"/>
      <c r="Q14" s="3"/>
      <c r="R14" s="3"/>
      <c r="S14" s="3"/>
      <c r="T14" s="3"/>
      <c r="U14" s="3"/>
      <c r="V14" s="3"/>
      <c r="W14" s="3"/>
      <c r="X14" s="3"/>
      <c r="Y14" s="3"/>
      <c r="Z14" s="3"/>
      <c r="AA14" s="3"/>
      <c r="AB14" s="3"/>
    </row>
    <row r="15">
      <c r="A15" s="19" t="s">
        <v>841</v>
      </c>
      <c r="B15" s="56"/>
      <c r="C15" s="19" t="s">
        <v>201</v>
      </c>
      <c r="D15" s="19" t="s">
        <v>842</v>
      </c>
      <c r="E15" s="19" t="s">
        <v>843</v>
      </c>
      <c r="F15" s="19" t="s">
        <v>844</v>
      </c>
      <c r="G15" s="19" t="s">
        <v>7</v>
      </c>
      <c r="H15" s="20"/>
      <c r="I15" s="20"/>
      <c r="J15" s="3"/>
      <c r="K15" s="3"/>
      <c r="L15" s="3"/>
      <c r="M15" s="3"/>
      <c r="N15" s="3"/>
      <c r="O15" s="3"/>
      <c r="P15" s="3"/>
      <c r="Q15" s="3"/>
      <c r="R15" s="3"/>
      <c r="S15" s="3"/>
      <c r="T15" s="3"/>
      <c r="U15" s="3"/>
      <c r="V15" s="3"/>
      <c r="W15" s="3"/>
      <c r="X15" s="3"/>
      <c r="Y15" s="3"/>
      <c r="Z15" s="3"/>
      <c r="AA15" s="3"/>
      <c r="AB15" s="3"/>
    </row>
    <row r="16">
      <c r="A16" s="19" t="s">
        <v>845</v>
      </c>
      <c r="B16" s="57"/>
      <c r="C16" s="19" t="s">
        <v>201</v>
      </c>
      <c r="D16" s="19" t="s">
        <v>846</v>
      </c>
      <c r="E16" s="19" t="s">
        <v>847</v>
      </c>
      <c r="F16" s="19" t="s">
        <v>848</v>
      </c>
      <c r="G16" s="19" t="s">
        <v>8</v>
      </c>
      <c r="H16" s="19">
        <v>1.0</v>
      </c>
      <c r="I16" s="19" t="s">
        <v>849</v>
      </c>
      <c r="J16" s="3"/>
      <c r="K16" s="3"/>
      <c r="L16" s="3"/>
      <c r="M16" s="3"/>
      <c r="N16" s="3"/>
      <c r="O16" s="3"/>
      <c r="P16" s="3"/>
      <c r="Q16" s="3"/>
      <c r="R16" s="3"/>
      <c r="S16" s="3"/>
      <c r="T16" s="3"/>
      <c r="U16" s="3"/>
      <c r="V16" s="3"/>
      <c r="W16" s="3"/>
      <c r="X16" s="3"/>
      <c r="Y16" s="3"/>
      <c r="Z16" s="3"/>
      <c r="AA16" s="3"/>
      <c r="AB16" s="3"/>
    </row>
    <row r="17">
      <c r="A17" s="19" t="s">
        <v>850</v>
      </c>
      <c r="B17" s="55" t="s">
        <v>851</v>
      </c>
      <c r="C17" s="19" t="s">
        <v>600</v>
      </c>
      <c r="D17" s="19" t="s">
        <v>852</v>
      </c>
      <c r="E17" s="19" t="s">
        <v>853</v>
      </c>
      <c r="F17" s="19" t="s">
        <v>854</v>
      </c>
      <c r="G17" s="19" t="s">
        <v>8</v>
      </c>
      <c r="H17" s="19">
        <v>1.0</v>
      </c>
      <c r="I17" s="19" t="s">
        <v>855</v>
      </c>
      <c r="J17" s="3"/>
      <c r="K17" s="3"/>
      <c r="L17" s="3"/>
      <c r="M17" s="3"/>
      <c r="N17" s="3"/>
      <c r="O17" s="3"/>
      <c r="P17" s="3"/>
      <c r="Q17" s="3"/>
      <c r="R17" s="3"/>
      <c r="S17" s="3"/>
      <c r="T17" s="3"/>
      <c r="U17" s="3"/>
      <c r="V17" s="3"/>
      <c r="W17" s="3"/>
      <c r="X17" s="3"/>
      <c r="Y17" s="3"/>
      <c r="Z17" s="3"/>
      <c r="AA17" s="3"/>
      <c r="AB17" s="3"/>
    </row>
    <row r="18">
      <c r="A18" s="19" t="s">
        <v>856</v>
      </c>
      <c r="B18" s="56"/>
      <c r="C18" s="19" t="s">
        <v>195</v>
      </c>
      <c r="D18" s="19" t="s">
        <v>857</v>
      </c>
      <c r="E18" s="19" t="s">
        <v>858</v>
      </c>
      <c r="F18" s="19" t="s">
        <v>859</v>
      </c>
      <c r="G18" s="19" t="s">
        <v>7</v>
      </c>
      <c r="H18" s="20"/>
      <c r="I18" s="20"/>
      <c r="J18" s="3"/>
      <c r="K18" s="3"/>
      <c r="L18" s="3"/>
      <c r="M18" s="3"/>
      <c r="N18" s="3"/>
      <c r="O18" s="3"/>
      <c r="P18" s="3"/>
      <c r="Q18" s="3"/>
      <c r="R18" s="3"/>
      <c r="S18" s="3"/>
      <c r="T18" s="3"/>
      <c r="U18" s="3"/>
      <c r="V18" s="3"/>
      <c r="W18" s="3"/>
      <c r="X18" s="3"/>
      <c r="Y18" s="3"/>
      <c r="Z18" s="3"/>
      <c r="AA18" s="3"/>
      <c r="AB18" s="3"/>
    </row>
    <row r="19">
      <c r="A19" s="19" t="s">
        <v>860</v>
      </c>
      <c r="B19" s="57"/>
      <c r="C19" s="19" t="s">
        <v>195</v>
      </c>
      <c r="D19" s="19" t="s">
        <v>861</v>
      </c>
      <c r="E19" s="19" t="s">
        <v>862</v>
      </c>
      <c r="F19" s="19" t="s">
        <v>863</v>
      </c>
      <c r="G19" s="19" t="s">
        <v>7</v>
      </c>
      <c r="H19" s="20"/>
      <c r="I19" s="20"/>
      <c r="J19" s="3"/>
      <c r="K19" s="3"/>
      <c r="L19" s="3"/>
      <c r="M19" s="3"/>
      <c r="N19" s="3"/>
      <c r="O19" s="3"/>
      <c r="P19" s="3"/>
      <c r="Q19" s="3"/>
      <c r="R19" s="3"/>
      <c r="S19" s="3"/>
      <c r="T19" s="3"/>
      <c r="U19" s="3"/>
      <c r="V19" s="3"/>
      <c r="W19" s="3"/>
      <c r="X19" s="3"/>
      <c r="Y19" s="3"/>
      <c r="Z19" s="3"/>
      <c r="AA19" s="3"/>
      <c r="AB19" s="3"/>
    </row>
    <row r="20">
      <c r="A20" s="20"/>
      <c r="B20" s="20"/>
      <c r="C20" s="20"/>
      <c r="D20" s="20"/>
      <c r="E20" s="20"/>
      <c r="F20" s="20"/>
      <c r="G20" s="20"/>
      <c r="H20" s="20"/>
      <c r="I20" s="20"/>
      <c r="J20" s="3"/>
      <c r="K20" s="3"/>
      <c r="L20" s="3"/>
      <c r="M20" s="3"/>
      <c r="N20" s="3"/>
      <c r="O20" s="3"/>
      <c r="P20" s="3"/>
      <c r="Q20" s="3"/>
      <c r="R20" s="3"/>
      <c r="S20" s="3"/>
      <c r="T20" s="3"/>
      <c r="U20" s="3"/>
      <c r="V20" s="3"/>
      <c r="W20" s="3"/>
      <c r="X20" s="3"/>
      <c r="Y20" s="3"/>
      <c r="Z20" s="3"/>
      <c r="AA20" s="3"/>
      <c r="AB20" s="3"/>
    </row>
    <row r="21">
      <c r="A21" s="20"/>
      <c r="B21" s="20"/>
      <c r="C21" s="20"/>
      <c r="D21" s="20"/>
      <c r="E21" s="20"/>
      <c r="F21" s="20"/>
      <c r="G21" s="20"/>
      <c r="H21" s="20"/>
      <c r="I21" s="20"/>
      <c r="J21" s="3"/>
      <c r="K21" s="3"/>
      <c r="L21" s="3"/>
      <c r="M21" s="3"/>
      <c r="N21" s="3"/>
      <c r="O21" s="3"/>
      <c r="P21" s="3"/>
      <c r="Q21" s="3"/>
      <c r="R21" s="3"/>
      <c r="S21" s="3"/>
      <c r="T21" s="3"/>
      <c r="U21" s="3"/>
      <c r="V21" s="3"/>
      <c r="W21" s="3"/>
      <c r="X21" s="3"/>
      <c r="Y21" s="3"/>
      <c r="Z21" s="3"/>
      <c r="AA21" s="3"/>
      <c r="AB21" s="3"/>
    </row>
    <row r="22">
      <c r="A22" s="20"/>
      <c r="B22" s="20"/>
      <c r="C22" s="20"/>
      <c r="D22" s="20"/>
      <c r="E22" s="20"/>
      <c r="F22" s="20"/>
      <c r="G22" s="20"/>
      <c r="H22" s="20"/>
      <c r="I22" s="20"/>
      <c r="J22" s="3"/>
      <c r="K22" s="3"/>
      <c r="L22" s="3"/>
      <c r="M22" s="3"/>
      <c r="N22" s="3"/>
      <c r="O22" s="3"/>
      <c r="P22" s="3"/>
      <c r="Q22" s="3"/>
      <c r="R22" s="3"/>
      <c r="S22" s="3"/>
      <c r="T22" s="3"/>
      <c r="U22" s="3"/>
      <c r="V22" s="3"/>
      <c r="W22" s="3"/>
      <c r="X22" s="3"/>
      <c r="Y22" s="3"/>
      <c r="Z22" s="3"/>
      <c r="AA22" s="3"/>
      <c r="AB22" s="3"/>
    </row>
    <row r="23">
      <c r="A23" s="20"/>
      <c r="B23" s="20"/>
      <c r="C23" s="20"/>
      <c r="D23" s="20"/>
      <c r="E23" s="20"/>
      <c r="F23" s="20"/>
      <c r="G23" s="20"/>
      <c r="H23" s="20"/>
      <c r="I23" s="20"/>
      <c r="J23" s="3"/>
      <c r="K23" s="3"/>
      <c r="L23" s="3"/>
      <c r="M23" s="3"/>
      <c r="N23" s="3"/>
      <c r="O23" s="3"/>
      <c r="P23" s="3"/>
      <c r="Q23" s="3"/>
      <c r="R23" s="3"/>
      <c r="S23" s="3"/>
      <c r="T23" s="3"/>
      <c r="U23" s="3"/>
      <c r="V23" s="3"/>
      <c r="W23" s="3"/>
      <c r="X23" s="3"/>
      <c r="Y23" s="3"/>
      <c r="Z23" s="3"/>
      <c r="AA23" s="3"/>
      <c r="AB23" s="3"/>
    </row>
    <row r="24">
      <c r="A24" s="20"/>
      <c r="B24" s="20"/>
      <c r="C24" s="20"/>
      <c r="D24" s="20"/>
      <c r="E24" s="20"/>
      <c r="F24" s="20"/>
      <c r="G24" s="20"/>
      <c r="H24" s="20"/>
      <c r="I24" s="20"/>
      <c r="J24" s="3"/>
      <c r="K24" s="3"/>
      <c r="L24" s="3"/>
      <c r="M24" s="3"/>
      <c r="N24" s="3"/>
      <c r="O24" s="3"/>
      <c r="P24" s="3"/>
      <c r="Q24" s="3"/>
      <c r="R24" s="3"/>
      <c r="S24" s="3"/>
      <c r="T24" s="3"/>
      <c r="U24" s="3"/>
      <c r="V24" s="3"/>
      <c r="W24" s="3"/>
      <c r="X24" s="3"/>
      <c r="Y24" s="3"/>
      <c r="Z24" s="3"/>
      <c r="AA24" s="3"/>
      <c r="AB24" s="3"/>
    </row>
    <row r="25">
      <c r="A25" s="20"/>
      <c r="B25" s="20"/>
      <c r="C25" s="20"/>
      <c r="D25" s="20"/>
      <c r="E25" s="20"/>
      <c r="F25" s="20"/>
      <c r="G25" s="20"/>
      <c r="H25" s="20"/>
      <c r="I25" s="20"/>
      <c r="J25" s="3"/>
      <c r="K25" s="3"/>
      <c r="L25" s="3"/>
      <c r="M25" s="3"/>
      <c r="N25" s="3"/>
      <c r="O25" s="3"/>
      <c r="P25" s="3"/>
      <c r="Q25" s="3"/>
      <c r="R25" s="3"/>
      <c r="S25" s="3"/>
      <c r="T25" s="3"/>
      <c r="U25" s="3"/>
      <c r="V25" s="3"/>
      <c r="W25" s="3"/>
      <c r="X25" s="3"/>
      <c r="Y25" s="3"/>
      <c r="Z25" s="3"/>
      <c r="AA25" s="3"/>
      <c r="AB25" s="3"/>
    </row>
    <row r="26">
      <c r="A26" s="20"/>
      <c r="B26" s="20"/>
      <c r="C26" s="20"/>
      <c r="D26" s="20"/>
      <c r="E26" s="20"/>
      <c r="F26" s="20"/>
      <c r="G26" s="20"/>
      <c r="H26" s="20"/>
      <c r="I26" s="20"/>
      <c r="J26" s="3"/>
      <c r="K26" s="3"/>
      <c r="L26" s="3"/>
      <c r="M26" s="3"/>
      <c r="N26" s="3"/>
      <c r="O26" s="3"/>
      <c r="P26" s="3"/>
      <c r="Q26" s="3"/>
      <c r="R26" s="3"/>
      <c r="S26" s="3"/>
      <c r="T26" s="3"/>
      <c r="U26" s="3"/>
      <c r="V26" s="3"/>
      <c r="W26" s="3"/>
      <c r="X26" s="3"/>
      <c r="Y26" s="3"/>
      <c r="Z26" s="3"/>
      <c r="AA26" s="3"/>
      <c r="AB26" s="3"/>
    </row>
    <row r="27">
      <c r="A27" s="20"/>
      <c r="B27" s="20"/>
      <c r="C27" s="20"/>
      <c r="D27" s="20"/>
      <c r="E27" s="20"/>
      <c r="F27" s="20"/>
      <c r="G27" s="20"/>
      <c r="H27" s="20"/>
      <c r="I27" s="20"/>
      <c r="J27" s="3"/>
      <c r="K27" s="3"/>
      <c r="L27" s="3"/>
      <c r="M27" s="3"/>
      <c r="N27" s="3"/>
      <c r="O27" s="3"/>
      <c r="P27" s="3"/>
      <c r="Q27" s="3"/>
      <c r="R27" s="3"/>
      <c r="S27" s="3"/>
      <c r="T27" s="3"/>
      <c r="U27" s="3"/>
      <c r="V27" s="3"/>
      <c r="W27" s="3"/>
      <c r="X27" s="3"/>
      <c r="Y27" s="3"/>
      <c r="Z27" s="3"/>
      <c r="AA27" s="3"/>
      <c r="AB27" s="3"/>
    </row>
    <row r="28">
      <c r="A28" s="20"/>
      <c r="B28" s="20"/>
      <c r="C28" s="20"/>
      <c r="D28" s="20"/>
      <c r="E28" s="20"/>
      <c r="F28" s="20"/>
      <c r="G28" s="20"/>
      <c r="H28" s="20"/>
      <c r="I28" s="20"/>
      <c r="J28" s="3"/>
      <c r="K28" s="3"/>
      <c r="L28" s="3"/>
      <c r="M28" s="3"/>
      <c r="N28" s="3"/>
      <c r="O28" s="3"/>
      <c r="P28" s="3"/>
      <c r="Q28" s="3"/>
      <c r="R28" s="3"/>
      <c r="S28" s="3"/>
      <c r="T28" s="3"/>
      <c r="U28" s="3"/>
      <c r="V28" s="3"/>
      <c r="W28" s="3"/>
      <c r="X28" s="3"/>
      <c r="Y28" s="3"/>
      <c r="Z28" s="3"/>
      <c r="AA28" s="3"/>
      <c r="AB28" s="3"/>
    </row>
    <row r="29">
      <c r="A29" s="20"/>
      <c r="B29" s="20"/>
      <c r="C29" s="20"/>
      <c r="D29" s="20"/>
      <c r="E29" s="20"/>
      <c r="F29" s="20"/>
      <c r="G29" s="20"/>
      <c r="H29" s="20"/>
      <c r="I29" s="20"/>
      <c r="J29" s="3"/>
      <c r="K29" s="3"/>
      <c r="L29" s="3"/>
      <c r="M29" s="3"/>
      <c r="N29" s="3"/>
      <c r="O29" s="3"/>
      <c r="P29" s="3"/>
      <c r="Q29" s="3"/>
      <c r="R29" s="3"/>
      <c r="S29" s="3"/>
      <c r="T29" s="3"/>
      <c r="U29" s="3"/>
      <c r="V29" s="3"/>
      <c r="W29" s="3"/>
      <c r="X29" s="3"/>
      <c r="Y29" s="3"/>
      <c r="Z29" s="3"/>
      <c r="AA29" s="3"/>
      <c r="AB29" s="3"/>
    </row>
    <row r="30">
      <c r="A30" s="20"/>
      <c r="B30" s="20"/>
      <c r="C30" s="20"/>
      <c r="D30" s="20"/>
      <c r="E30" s="20"/>
      <c r="F30" s="20"/>
      <c r="G30" s="20"/>
      <c r="H30" s="20"/>
      <c r="I30" s="20"/>
      <c r="J30" s="3"/>
      <c r="K30" s="3"/>
      <c r="L30" s="3"/>
      <c r="M30" s="3"/>
      <c r="N30" s="3"/>
      <c r="O30" s="3"/>
      <c r="P30" s="3"/>
      <c r="Q30" s="3"/>
      <c r="R30" s="3"/>
      <c r="S30" s="3"/>
      <c r="T30" s="3"/>
      <c r="U30" s="3"/>
      <c r="V30" s="3"/>
      <c r="W30" s="3"/>
      <c r="X30" s="3"/>
      <c r="Y30" s="3"/>
      <c r="Z30" s="3"/>
      <c r="AA30" s="3"/>
      <c r="AB30" s="3"/>
    </row>
    <row r="31">
      <c r="A31" s="20"/>
      <c r="B31" s="20"/>
      <c r="C31" s="20"/>
      <c r="D31" s="20"/>
      <c r="E31" s="20"/>
      <c r="F31" s="20"/>
      <c r="G31" s="20"/>
      <c r="H31" s="20"/>
      <c r="I31" s="20"/>
      <c r="J31" s="3"/>
      <c r="K31" s="3"/>
      <c r="L31" s="3"/>
      <c r="M31" s="3"/>
      <c r="N31" s="3"/>
      <c r="O31" s="3"/>
      <c r="P31" s="3"/>
      <c r="Q31" s="3"/>
      <c r="R31" s="3"/>
      <c r="S31" s="3"/>
      <c r="T31" s="3"/>
      <c r="U31" s="3"/>
      <c r="V31" s="3"/>
      <c r="W31" s="3"/>
      <c r="X31" s="3"/>
      <c r="Y31" s="3"/>
      <c r="Z31" s="3"/>
      <c r="AA31" s="3"/>
      <c r="AB31" s="3"/>
    </row>
    <row r="32">
      <c r="A32" s="20"/>
      <c r="B32" s="20"/>
      <c r="C32" s="20"/>
      <c r="D32" s="20"/>
      <c r="E32" s="20"/>
      <c r="F32" s="20"/>
      <c r="G32" s="20"/>
      <c r="H32" s="20"/>
      <c r="I32" s="20"/>
      <c r="J32" s="3"/>
      <c r="K32" s="3"/>
      <c r="L32" s="3"/>
      <c r="M32" s="3"/>
      <c r="N32" s="3"/>
      <c r="O32" s="3"/>
      <c r="P32" s="3"/>
      <c r="Q32" s="3"/>
      <c r="R32" s="3"/>
      <c r="S32" s="3"/>
      <c r="T32" s="3"/>
      <c r="U32" s="3"/>
      <c r="V32" s="3"/>
      <c r="W32" s="3"/>
      <c r="X32" s="3"/>
      <c r="Y32" s="3"/>
      <c r="Z32" s="3"/>
      <c r="AA32" s="3"/>
      <c r="AB32" s="3"/>
    </row>
    <row r="33">
      <c r="A33" s="20"/>
      <c r="B33" s="20"/>
      <c r="C33" s="20"/>
      <c r="D33" s="20"/>
      <c r="E33" s="20"/>
      <c r="F33" s="20"/>
      <c r="G33" s="20"/>
      <c r="H33" s="20"/>
      <c r="I33" s="20"/>
      <c r="J33" s="3"/>
      <c r="K33" s="3"/>
      <c r="L33" s="3"/>
      <c r="M33" s="3"/>
      <c r="N33" s="3"/>
      <c r="O33" s="3"/>
      <c r="P33" s="3"/>
      <c r="Q33" s="3"/>
      <c r="R33" s="3"/>
      <c r="S33" s="3"/>
      <c r="T33" s="3"/>
      <c r="U33" s="3"/>
      <c r="V33" s="3"/>
      <c r="W33" s="3"/>
      <c r="X33" s="3"/>
      <c r="Y33" s="3"/>
      <c r="Z33" s="3"/>
      <c r="AA33" s="3"/>
      <c r="AB33" s="3"/>
    </row>
    <row r="34">
      <c r="A34" s="20"/>
      <c r="B34" s="20"/>
      <c r="C34" s="20"/>
      <c r="D34" s="20"/>
      <c r="E34" s="20"/>
      <c r="F34" s="20"/>
      <c r="G34" s="20"/>
      <c r="H34" s="20"/>
      <c r="I34" s="20"/>
      <c r="J34" s="3"/>
      <c r="K34" s="3"/>
      <c r="L34" s="3"/>
      <c r="M34" s="3"/>
      <c r="N34" s="3"/>
      <c r="O34" s="3"/>
      <c r="P34" s="3"/>
      <c r="Q34" s="3"/>
      <c r="R34" s="3"/>
      <c r="S34" s="3"/>
      <c r="T34" s="3"/>
      <c r="U34" s="3"/>
      <c r="V34" s="3"/>
      <c r="W34" s="3"/>
      <c r="X34" s="3"/>
      <c r="Y34" s="3"/>
      <c r="Z34" s="3"/>
      <c r="AA34" s="3"/>
      <c r="AB34" s="3"/>
    </row>
    <row r="35">
      <c r="A35" s="20"/>
      <c r="B35" s="20"/>
      <c r="C35" s="20"/>
      <c r="D35" s="20"/>
      <c r="E35" s="20"/>
      <c r="F35" s="20"/>
      <c r="G35" s="20"/>
      <c r="H35" s="20"/>
      <c r="I35" s="20"/>
      <c r="J35" s="3"/>
      <c r="K35" s="3"/>
      <c r="L35" s="3"/>
      <c r="M35" s="3"/>
      <c r="N35" s="3"/>
      <c r="O35" s="3"/>
      <c r="P35" s="3"/>
      <c r="Q35" s="3"/>
      <c r="R35" s="3"/>
      <c r="S35" s="3"/>
      <c r="T35" s="3"/>
      <c r="U35" s="3"/>
      <c r="V35" s="3"/>
      <c r="W35" s="3"/>
      <c r="X35" s="3"/>
      <c r="Y35" s="3"/>
      <c r="Z35" s="3"/>
      <c r="AA35" s="3"/>
      <c r="AB35" s="3"/>
    </row>
    <row r="36">
      <c r="A36" s="20"/>
      <c r="B36" s="20"/>
      <c r="C36" s="20"/>
      <c r="D36" s="20"/>
      <c r="E36" s="20"/>
      <c r="F36" s="20"/>
      <c r="G36" s="20"/>
      <c r="H36" s="20"/>
      <c r="I36" s="20"/>
      <c r="J36" s="3"/>
      <c r="K36" s="3"/>
      <c r="L36" s="3"/>
      <c r="M36" s="3"/>
      <c r="N36" s="3"/>
      <c r="O36" s="3"/>
      <c r="P36" s="3"/>
      <c r="Q36" s="3"/>
      <c r="R36" s="3"/>
      <c r="S36" s="3"/>
      <c r="T36" s="3"/>
      <c r="U36" s="3"/>
      <c r="V36" s="3"/>
      <c r="W36" s="3"/>
      <c r="X36" s="3"/>
      <c r="Y36" s="3"/>
      <c r="Z36" s="3"/>
      <c r="AA36" s="3"/>
      <c r="AB36" s="3"/>
    </row>
    <row r="37">
      <c r="A37" s="20"/>
      <c r="B37" s="20"/>
      <c r="C37" s="20"/>
      <c r="D37" s="20"/>
      <c r="E37" s="20"/>
      <c r="F37" s="20"/>
      <c r="G37" s="20"/>
      <c r="H37" s="20"/>
      <c r="I37" s="20"/>
      <c r="J37" s="3"/>
      <c r="K37" s="3"/>
      <c r="L37" s="3"/>
      <c r="M37" s="3"/>
      <c r="N37" s="3"/>
      <c r="O37" s="3"/>
      <c r="P37" s="3"/>
      <c r="Q37" s="3"/>
      <c r="R37" s="3"/>
      <c r="S37" s="3"/>
      <c r="T37" s="3"/>
      <c r="U37" s="3"/>
      <c r="V37" s="3"/>
      <c r="W37" s="3"/>
      <c r="X37" s="3"/>
      <c r="Y37" s="3"/>
      <c r="Z37" s="3"/>
      <c r="AA37" s="3"/>
      <c r="AB37" s="3"/>
    </row>
    <row r="38">
      <c r="A38" s="20"/>
      <c r="B38" s="20"/>
      <c r="C38" s="20"/>
      <c r="D38" s="20"/>
      <c r="E38" s="20"/>
      <c r="F38" s="20"/>
      <c r="G38" s="20"/>
      <c r="H38" s="20"/>
      <c r="I38" s="20"/>
      <c r="J38" s="3"/>
      <c r="K38" s="3"/>
      <c r="L38" s="3"/>
      <c r="M38" s="3"/>
      <c r="N38" s="3"/>
      <c r="O38" s="3"/>
      <c r="P38" s="3"/>
      <c r="Q38" s="3"/>
      <c r="R38" s="3"/>
      <c r="S38" s="3"/>
      <c r="T38" s="3"/>
      <c r="U38" s="3"/>
      <c r="V38" s="3"/>
      <c r="W38" s="3"/>
      <c r="X38" s="3"/>
      <c r="Y38" s="3"/>
      <c r="Z38" s="3"/>
      <c r="AA38" s="3"/>
      <c r="AB38" s="3"/>
    </row>
    <row r="39">
      <c r="A39" s="20"/>
      <c r="B39" s="20"/>
      <c r="C39" s="20"/>
      <c r="D39" s="20"/>
      <c r="E39" s="20"/>
      <c r="F39" s="20"/>
      <c r="G39" s="20"/>
      <c r="H39" s="20"/>
      <c r="I39" s="20"/>
      <c r="J39" s="3"/>
      <c r="K39" s="3"/>
      <c r="L39" s="3"/>
      <c r="M39" s="3"/>
      <c r="N39" s="3"/>
      <c r="O39" s="3"/>
      <c r="P39" s="3"/>
      <c r="Q39" s="3"/>
      <c r="R39" s="3"/>
      <c r="S39" s="3"/>
      <c r="T39" s="3"/>
      <c r="U39" s="3"/>
      <c r="V39" s="3"/>
      <c r="W39" s="3"/>
      <c r="X39" s="3"/>
      <c r="Y39" s="3"/>
      <c r="Z39" s="3"/>
      <c r="AA39" s="3"/>
      <c r="AB39" s="3"/>
    </row>
    <row r="40">
      <c r="A40" s="20"/>
      <c r="B40" s="20"/>
      <c r="C40" s="20"/>
      <c r="D40" s="20"/>
      <c r="E40" s="20"/>
      <c r="F40" s="20"/>
      <c r="G40" s="20"/>
      <c r="H40" s="20"/>
      <c r="I40" s="20"/>
      <c r="J40" s="3"/>
      <c r="K40" s="3"/>
      <c r="L40" s="3"/>
      <c r="M40" s="3"/>
      <c r="N40" s="3"/>
      <c r="O40" s="3"/>
      <c r="P40" s="3"/>
      <c r="Q40" s="3"/>
      <c r="R40" s="3"/>
      <c r="S40" s="3"/>
      <c r="T40" s="3"/>
      <c r="U40" s="3"/>
      <c r="V40" s="3"/>
      <c r="W40" s="3"/>
      <c r="X40" s="3"/>
      <c r="Y40" s="3"/>
      <c r="Z40" s="3"/>
      <c r="AA40" s="3"/>
      <c r="AB40" s="3"/>
    </row>
    <row r="41">
      <c r="A41" s="20"/>
      <c r="B41" s="20"/>
      <c r="C41" s="20"/>
      <c r="D41" s="20"/>
      <c r="E41" s="20"/>
      <c r="F41" s="20"/>
      <c r="G41" s="20"/>
      <c r="H41" s="20"/>
      <c r="I41" s="20"/>
      <c r="J41" s="3"/>
      <c r="K41" s="3"/>
      <c r="L41" s="3"/>
      <c r="M41" s="3"/>
      <c r="N41" s="3"/>
      <c r="O41" s="3"/>
      <c r="P41" s="3"/>
      <c r="Q41" s="3"/>
      <c r="R41" s="3"/>
      <c r="S41" s="3"/>
      <c r="T41" s="3"/>
      <c r="U41" s="3"/>
      <c r="V41" s="3"/>
      <c r="W41" s="3"/>
      <c r="X41" s="3"/>
      <c r="Y41" s="3"/>
      <c r="Z41" s="3"/>
      <c r="AA41" s="3"/>
      <c r="AB41" s="3"/>
    </row>
    <row r="42">
      <c r="A42" s="20"/>
      <c r="B42" s="20"/>
      <c r="C42" s="20"/>
      <c r="D42" s="20"/>
      <c r="E42" s="20"/>
      <c r="F42" s="20"/>
      <c r="G42" s="20"/>
      <c r="H42" s="20"/>
      <c r="I42" s="20"/>
      <c r="J42" s="3"/>
      <c r="K42" s="3"/>
      <c r="L42" s="3"/>
      <c r="M42" s="3"/>
      <c r="N42" s="3"/>
      <c r="O42" s="3"/>
      <c r="P42" s="3"/>
      <c r="Q42" s="3"/>
      <c r="R42" s="3"/>
      <c r="S42" s="3"/>
      <c r="T42" s="3"/>
      <c r="U42" s="3"/>
      <c r="V42" s="3"/>
      <c r="W42" s="3"/>
      <c r="X42" s="3"/>
      <c r="Y42" s="3"/>
      <c r="Z42" s="3"/>
      <c r="AA42" s="3"/>
      <c r="AB42" s="3"/>
    </row>
    <row r="43">
      <c r="A43" s="20"/>
      <c r="B43" s="20"/>
      <c r="C43" s="20"/>
      <c r="D43" s="20"/>
      <c r="E43" s="20"/>
      <c r="F43" s="20"/>
      <c r="G43" s="20"/>
      <c r="H43" s="20"/>
      <c r="I43" s="20"/>
      <c r="J43" s="3"/>
      <c r="K43" s="3"/>
      <c r="L43" s="3"/>
      <c r="M43" s="3"/>
      <c r="N43" s="3"/>
      <c r="O43" s="3"/>
      <c r="P43" s="3"/>
      <c r="Q43" s="3"/>
      <c r="R43" s="3"/>
      <c r="S43" s="3"/>
      <c r="T43" s="3"/>
      <c r="U43" s="3"/>
      <c r="V43" s="3"/>
      <c r="W43" s="3"/>
      <c r="X43" s="3"/>
      <c r="Y43" s="3"/>
      <c r="Z43" s="3"/>
      <c r="AA43" s="3"/>
      <c r="AB43" s="3"/>
    </row>
    <row r="44">
      <c r="A44" s="20"/>
      <c r="B44" s="20"/>
      <c r="C44" s="20"/>
      <c r="D44" s="20"/>
      <c r="E44" s="20"/>
      <c r="F44" s="20"/>
      <c r="G44" s="20"/>
      <c r="H44" s="20"/>
      <c r="I44" s="20"/>
      <c r="J44" s="3"/>
      <c r="K44" s="3"/>
      <c r="L44" s="3"/>
      <c r="M44" s="3"/>
      <c r="N44" s="3"/>
      <c r="O44" s="3"/>
      <c r="P44" s="3"/>
      <c r="Q44" s="3"/>
      <c r="R44" s="3"/>
      <c r="S44" s="3"/>
      <c r="T44" s="3"/>
      <c r="U44" s="3"/>
      <c r="V44" s="3"/>
      <c r="W44" s="3"/>
      <c r="X44" s="3"/>
      <c r="Y44" s="3"/>
      <c r="Z44" s="3"/>
      <c r="AA44" s="3"/>
      <c r="AB44" s="3"/>
    </row>
    <row r="45">
      <c r="A45" s="20"/>
      <c r="B45" s="20"/>
      <c r="C45" s="20"/>
      <c r="D45" s="20"/>
      <c r="E45" s="20"/>
      <c r="F45" s="20"/>
      <c r="G45" s="20"/>
      <c r="H45" s="20"/>
      <c r="I45" s="20"/>
      <c r="J45" s="3"/>
      <c r="K45" s="3"/>
      <c r="L45" s="3"/>
      <c r="M45" s="3"/>
      <c r="N45" s="3"/>
      <c r="O45" s="3"/>
      <c r="P45" s="3"/>
      <c r="Q45" s="3"/>
      <c r="R45" s="3"/>
      <c r="S45" s="3"/>
      <c r="T45" s="3"/>
      <c r="U45" s="3"/>
      <c r="V45" s="3"/>
      <c r="W45" s="3"/>
      <c r="X45" s="3"/>
      <c r="Y45" s="3"/>
      <c r="Z45" s="3"/>
      <c r="AA45" s="3"/>
      <c r="AB45" s="3"/>
    </row>
    <row r="46">
      <c r="A46" s="20"/>
      <c r="B46" s="20"/>
      <c r="C46" s="20"/>
      <c r="D46" s="20"/>
      <c r="E46" s="20"/>
      <c r="F46" s="20"/>
      <c r="G46" s="20"/>
      <c r="H46" s="20"/>
      <c r="I46" s="20"/>
      <c r="J46" s="3"/>
      <c r="K46" s="3"/>
      <c r="L46" s="3"/>
      <c r="M46" s="3"/>
      <c r="N46" s="3"/>
      <c r="O46" s="3"/>
      <c r="P46" s="3"/>
      <c r="Q46" s="3"/>
      <c r="R46" s="3"/>
      <c r="S46" s="3"/>
      <c r="T46" s="3"/>
      <c r="U46" s="3"/>
      <c r="V46" s="3"/>
      <c r="W46" s="3"/>
      <c r="X46" s="3"/>
      <c r="Y46" s="3"/>
      <c r="Z46" s="3"/>
      <c r="AA46" s="3"/>
      <c r="AB46" s="3"/>
    </row>
    <row r="47">
      <c r="A47" s="20"/>
      <c r="B47" s="20"/>
      <c r="C47" s="20"/>
      <c r="D47" s="20"/>
      <c r="E47" s="20"/>
      <c r="F47" s="20"/>
      <c r="G47" s="20"/>
      <c r="H47" s="20"/>
      <c r="I47" s="20"/>
      <c r="J47" s="3"/>
      <c r="K47" s="3"/>
      <c r="L47" s="3"/>
      <c r="M47" s="3"/>
      <c r="N47" s="3"/>
      <c r="O47" s="3"/>
      <c r="P47" s="3"/>
      <c r="Q47" s="3"/>
      <c r="R47" s="3"/>
      <c r="S47" s="3"/>
      <c r="T47" s="3"/>
      <c r="U47" s="3"/>
      <c r="V47" s="3"/>
      <c r="W47" s="3"/>
      <c r="X47" s="3"/>
      <c r="Y47" s="3"/>
      <c r="Z47" s="3"/>
      <c r="AA47" s="3"/>
      <c r="AB47" s="3"/>
    </row>
    <row r="48">
      <c r="A48" s="20"/>
      <c r="B48" s="20"/>
      <c r="C48" s="20"/>
      <c r="D48" s="20"/>
      <c r="E48" s="20"/>
      <c r="F48" s="20"/>
      <c r="G48" s="20"/>
      <c r="H48" s="20"/>
      <c r="I48" s="20"/>
      <c r="J48" s="3"/>
      <c r="K48" s="3"/>
      <c r="L48" s="3"/>
      <c r="M48" s="3"/>
      <c r="N48" s="3"/>
      <c r="O48" s="3"/>
      <c r="P48" s="3"/>
      <c r="Q48" s="3"/>
      <c r="R48" s="3"/>
      <c r="S48" s="3"/>
      <c r="T48" s="3"/>
      <c r="U48" s="3"/>
      <c r="V48" s="3"/>
      <c r="W48" s="3"/>
      <c r="X48" s="3"/>
      <c r="Y48" s="3"/>
      <c r="Z48" s="3"/>
      <c r="AA48" s="3"/>
      <c r="AB48" s="3"/>
    </row>
    <row r="49">
      <c r="A49" s="20"/>
      <c r="B49" s="20"/>
      <c r="C49" s="20"/>
      <c r="D49" s="20"/>
      <c r="E49" s="20"/>
      <c r="F49" s="20"/>
      <c r="G49" s="20"/>
      <c r="H49" s="20"/>
      <c r="I49" s="20"/>
      <c r="J49" s="3"/>
      <c r="K49" s="3"/>
      <c r="L49" s="3"/>
      <c r="M49" s="3"/>
      <c r="N49" s="3"/>
      <c r="O49" s="3"/>
      <c r="P49" s="3"/>
      <c r="Q49" s="3"/>
      <c r="R49" s="3"/>
      <c r="S49" s="3"/>
      <c r="T49" s="3"/>
      <c r="U49" s="3"/>
      <c r="V49" s="3"/>
      <c r="W49" s="3"/>
      <c r="X49" s="3"/>
      <c r="Y49" s="3"/>
      <c r="Z49" s="3"/>
      <c r="AA49" s="3"/>
      <c r="AB49" s="3"/>
    </row>
    <row r="50">
      <c r="A50" s="20"/>
      <c r="B50" s="20"/>
      <c r="C50" s="20"/>
      <c r="D50" s="20"/>
      <c r="E50" s="20"/>
      <c r="F50" s="20"/>
      <c r="G50" s="20"/>
      <c r="H50" s="20"/>
      <c r="I50" s="20"/>
      <c r="J50" s="3"/>
      <c r="K50" s="3"/>
      <c r="L50" s="3"/>
      <c r="M50" s="3"/>
      <c r="N50" s="3"/>
      <c r="O50" s="3"/>
      <c r="P50" s="3"/>
      <c r="Q50" s="3"/>
      <c r="R50" s="3"/>
      <c r="S50" s="3"/>
      <c r="T50" s="3"/>
      <c r="U50" s="3"/>
      <c r="V50" s="3"/>
      <c r="W50" s="3"/>
      <c r="X50" s="3"/>
      <c r="Y50" s="3"/>
      <c r="Z50" s="3"/>
      <c r="AA50" s="3"/>
      <c r="AB50" s="3"/>
    </row>
    <row r="51">
      <c r="A51" s="20"/>
      <c r="B51" s="20"/>
      <c r="C51" s="20"/>
      <c r="D51" s="20"/>
      <c r="E51" s="20"/>
      <c r="F51" s="20"/>
      <c r="G51" s="20"/>
      <c r="H51" s="20"/>
      <c r="I51" s="20"/>
      <c r="J51" s="3"/>
      <c r="K51" s="3"/>
      <c r="L51" s="3"/>
      <c r="M51" s="3"/>
      <c r="N51" s="3"/>
      <c r="O51" s="3"/>
      <c r="P51" s="3"/>
      <c r="Q51" s="3"/>
      <c r="R51" s="3"/>
      <c r="S51" s="3"/>
      <c r="T51" s="3"/>
      <c r="U51" s="3"/>
      <c r="V51" s="3"/>
      <c r="W51" s="3"/>
      <c r="X51" s="3"/>
      <c r="Y51" s="3"/>
      <c r="Z51" s="3"/>
      <c r="AA51" s="3"/>
      <c r="AB51" s="3"/>
    </row>
    <row r="52">
      <c r="A52" s="20"/>
      <c r="B52" s="20"/>
      <c r="C52" s="20"/>
      <c r="D52" s="20"/>
      <c r="E52" s="20"/>
      <c r="F52" s="20"/>
      <c r="G52" s="20"/>
      <c r="H52" s="20"/>
      <c r="I52" s="20"/>
      <c r="J52" s="3"/>
      <c r="K52" s="3"/>
      <c r="L52" s="3"/>
      <c r="M52" s="3"/>
      <c r="N52" s="3"/>
      <c r="O52" s="3"/>
      <c r="P52" s="3"/>
      <c r="Q52" s="3"/>
      <c r="R52" s="3"/>
      <c r="S52" s="3"/>
      <c r="T52" s="3"/>
      <c r="U52" s="3"/>
      <c r="V52" s="3"/>
      <c r="W52" s="3"/>
      <c r="X52" s="3"/>
      <c r="Y52" s="3"/>
      <c r="Z52" s="3"/>
      <c r="AA52" s="3"/>
      <c r="AB52" s="3"/>
    </row>
    <row r="53">
      <c r="A53" s="20"/>
      <c r="B53" s="20"/>
      <c r="C53" s="20"/>
      <c r="D53" s="20"/>
      <c r="E53" s="20"/>
      <c r="F53" s="20"/>
      <c r="G53" s="20"/>
      <c r="H53" s="20"/>
      <c r="I53" s="20"/>
      <c r="J53" s="3"/>
      <c r="K53" s="3"/>
      <c r="L53" s="3"/>
      <c r="M53" s="3"/>
      <c r="N53" s="3"/>
      <c r="O53" s="3"/>
      <c r="P53" s="3"/>
      <c r="Q53" s="3"/>
      <c r="R53" s="3"/>
      <c r="S53" s="3"/>
      <c r="T53" s="3"/>
      <c r="U53" s="3"/>
      <c r="V53" s="3"/>
      <c r="W53" s="3"/>
      <c r="X53" s="3"/>
      <c r="Y53" s="3"/>
      <c r="Z53" s="3"/>
      <c r="AA53" s="3"/>
      <c r="AB53" s="3"/>
    </row>
    <row r="54">
      <c r="A54" s="20"/>
      <c r="B54" s="20"/>
      <c r="C54" s="20"/>
      <c r="D54" s="20"/>
      <c r="E54" s="20"/>
      <c r="F54" s="20"/>
      <c r="G54" s="20"/>
      <c r="H54" s="20"/>
      <c r="I54" s="20"/>
      <c r="J54" s="3"/>
      <c r="K54" s="3"/>
      <c r="L54" s="3"/>
      <c r="M54" s="3"/>
      <c r="N54" s="3"/>
      <c r="O54" s="3"/>
      <c r="P54" s="3"/>
      <c r="Q54" s="3"/>
      <c r="R54" s="3"/>
      <c r="S54" s="3"/>
      <c r="T54" s="3"/>
      <c r="U54" s="3"/>
      <c r="V54" s="3"/>
      <c r="W54" s="3"/>
      <c r="X54" s="3"/>
      <c r="Y54" s="3"/>
      <c r="Z54" s="3"/>
      <c r="AA54" s="3"/>
      <c r="AB54" s="3"/>
    </row>
    <row r="55">
      <c r="A55" s="20"/>
      <c r="B55" s="20"/>
      <c r="C55" s="20"/>
      <c r="D55" s="20"/>
      <c r="E55" s="20"/>
      <c r="F55" s="20"/>
      <c r="G55" s="20"/>
      <c r="H55" s="20"/>
      <c r="I55" s="20"/>
      <c r="J55" s="3"/>
      <c r="K55" s="3"/>
      <c r="L55" s="3"/>
      <c r="M55" s="3"/>
      <c r="N55" s="3"/>
      <c r="O55" s="3"/>
      <c r="P55" s="3"/>
      <c r="Q55" s="3"/>
      <c r="R55" s="3"/>
      <c r="S55" s="3"/>
      <c r="T55" s="3"/>
      <c r="U55" s="3"/>
      <c r="V55" s="3"/>
      <c r="W55" s="3"/>
      <c r="X55" s="3"/>
      <c r="Y55" s="3"/>
      <c r="Z55" s="3"/>
      <c r="AA55" s="3"/>
      <c r="AB55" s="3"/>
    </row>
    <row r="56">
      <c r="A56" s="20"/>
      <c r="B56" s="20"/>
      <c r="C56" s="20"/>
      <c r="D56" s="20"/>
      <c r="E56" s="20"/>
      <c r="F56" s="20"/>
      <c r="G56" s="20"/>
      <c r="H56" s="20"/>
      <c r="I56" s="20"/>
      <c r="J56" s="3"/>
      <c r="K56" s="3"/>
      <c r="L56" s="3"/>
      <c r="M56" s="3"/>
      <c r="N56" s="3"/>
      <c r="O56" s="3"/>
      <c r="P56" s="3"/>
      <c r="Q56" s="3"/>
      <c r="R56" s="3"/>
      <c r="S56" s="3"/>
      <c r="T56" s="3"/>
      <c r="U56" s="3"/>
      <c r="V56" s="3"/>
      <c r="W56" s="3"/>
      <c r="X56" s="3"/>
      <c r="Y56" s="3"/>
      <c r="Z56" s="3"/>
      <c r="AA56" s="3"/>
      <c r="AB56" s="3"/>
    </row>
    <row r="57">
      <c r="A57" s="20"/>
      <c r="B57" s="20"/>
      <c r="C57" s="20"/>
      <c r="D57" s="20"/>
      <c r="E57" s="20"/>
      <c r="F57" s="20"/>
      <c r="G57" s="20"/>
      <c r="H57" s="20"/>
      <c r="I57" s="20"/>
      <c r="J57" s="3"/>
      <c r="K57" s="3"/>
      <c r="L57" s="3"/>
      <c r="M57" s="3"/>
      <c r="N57" s="3"/>
      <c r="O57" s="3"/>
      <c r="P57" s="3"/>
      <c r="Q57" s="3"/>
      <c r="R57" s="3"/>
      <c r="S57" s="3"/>
      <c r="T57" s="3"/>
      <c r="U57" s="3"/>
      <c r="V57" s="3"/>
      <c r="W57" s="3"/>
      <c r="X57" s="3"/>
      <c r="Y57" s="3"/>
      <c r="Z57" s="3"/>
      <c r="AA57" s="3"/>
      <c r="AB57" s="3"/>
    </row>
    <row r="58">
      <c r="A58" s="20"/>
      <c r="B58" s="20"/>
      <c r="C58" s="20"/>
      <c r="D58" s="20"/>
      <c r="E58" s="20"/>
      <c r="F58" s="20"/>
      <c r="G58" s="20"/>
      <c r="H58" s="20"/>
      <c r="I58" s="20"/>
      <c r="J58" s="3"/>
      <c r="K58" s="3"/>
      <c r="L58" s="3"/>
      <c r="M58" s="3"/>
      <c r="N58" s="3"/>
      <c r="O58" s="3"/>
      <c r="P58" s="3"/>
      <c r="Q58" s="3"/>
      <c r="R58" s="3"/>
      <c r="S58" s="3"/>
      <c r="T58" s="3"/>
      <c r="U58" s="3"/>
      <c r="V58" s="3"/>
      <c r="W58" s="3"/>
      <c r="X58" s="3"/>
      <c r="Y58" s="3"/>
      <c r="Z58" s="3"/>
      <c r="AA58" s="3"/>
      <c r="AB58" s="3"/>
    </row>
    <row r="59">
      <c r="A59" s="20"/>
      <c r="B59" s="20"/>
      <c r="C59" s="20"/>
      <c r="D59" s="20"/>
      <c r="E59" s="20"/>
      <c r="F59" s="20"/>
      <c r="G59" s="20"/>
      <c r="H59" s="20"/>
      <c r="I59" s="20"/>
      <c r="J59" s="3"/>
      <c r="K59" s="3"/>
      <c r="L59" s="3"/>
      <c r="M59" s="3"/>
      <c r="N59" s="3"/>
      <c r="O59" s="3"/>
      <c r="P59" s="3"/>
      <c r="Q59" s="3"/>
      <c r="R59" s="3"/>
      <c r="S59" s="3"/>
      <c r="T59" s="3"/>
      <c r="U59" s="3"/>
      <c r="V59" s="3"/>
      <c r="W59" s="3"/>
      <c r="X59" s="3"/>
      <c r="Y59" s="3"/>
      <c r="Z59" s="3"/>
      <c r="AA59" s="3"/>
      <c r="AB59" s="3"/>
    </row>
    <row r="60">
      <c r="A60" s="20"/>
      <c r="B60" s="20"/>
      <c r="C60" s="20"/>
      <c r="D60" s="20"/>
      <c r="E60" s="20"/>
      <c r="F60" s="20"/>
      <c r="G60" s="20"/>
      <c r="H60" s="20"/>
      <c r="I60" s="20"/>
      <c r="J60" s="3"/>
      <c r="K60" s="3"/>
      <c r="L60" s="3"/>
      <c r="M60" s="3"/>
      <c r="N60" s="3"/>
      <c r="O60" s="3"/>
      <c r="P60" s="3"/>
      <c r="Q60" s="3"/>
      <c r="R60" s="3"/>
      <c r="S60" s="3"/>
      <c r="T60" s="3"/>
      <c r="U60" s="3"/>
      <c r="V60" s="3"/>
      <c r="W60" s="3"/>
      <c r="X60" s="3"/>
      <c r="Y60" s="3"/>
      <c r="Z60" s="3"/>
      <c r="AA60" s="3"/>
      <c r="AB60" s="3"/>
    </row>
    <row r="61">
      <c r="A61" s="20"/>
      <c r="B61" s="20"/>
      <c r="C61" s="20"/>
      <c r="D61" s="20"/>
      <c r="E61" s="20"/>
      <c r="F61" s="20"/>
      <c r="G61" s="20"/>
      <c r="H61" s="20"/>
      <c r="I61" s="20"/>
      <c r="J61" s="3"/>
      <c r="K61" s="3"/>
      <c r="L61" s="3"/>
      <c r="M61" s="3"/>
      <c r="N61" s="3"/>
      <c r="O61" s="3"/>
      <c r="P61" s="3"/>
      <c r="Q61" s="3"/>
      <c r="R61" s="3"/>
      <c r="S61" s="3"/>
      <c r="T61" s="3"/>
      <c r="U61" s="3"/>
      <c r="V61" s="3"/>
      <c r="W61" s="3"/>
      <c r="X61" s="3"/>
      <c r="Y61" s="3"/>
      <c r="Z61" s="3"/>
      <c r="AA61" s="3"/>
      <c r="AB61" s="3"/>
    </row>
    <row r="62">
      <c r="A62" s="20"/>
      <c r="B62" s="20"/>
      <c r="C62" s="20"/>
      <c r="D62" s="20"/>
      <c r="E62" s="20"/>
      <c r="F62" s="20"/>
      <c r="G62" s="20"/>
      <c r="H62" s="20"/>
      <c r="I62" s="20"/>
      <c r="J62" s="3"/>
      <c r="K62" s="3"/>
      <c r="L62" s="3"/>
      <c r="M62" s="3"/>
      <c r="N62" s="3"/>
      <c r="O62" s="3"/>
      <c r="P62" s="3"/>
      <c r="Q62" s="3"/>
      <c r="R62" s="3"/>
      <c r="S62" s="3"/>
      <c r="T62" s="3"/>
      <c r="U62" s="3"/>
      <c r="V62" s="3"/>
      <c r="W62" s="3"/>
      <c r="X62" s="3"/>
      <c r="Y62" s="3"/>
      <c r="Z62" s="3"/>
      <c r="AA62" s="3"/>
      <c r="AB62" s="3"/>
    </row>
    <row r="63">
      <c r="A63" s="20"/>
      <c r="B63" s="20"/>
      <c r="C63" s="20"/>
      <c r="D63" s="20"/>
      <c r="E63" s="20"/>
      <c r="F63" s="20"/>
      <c r="G63" s="20"/>
      <c r="H63" s="20"/>
      <c r="I63" s="20"/>
      <c r="J63" s="3"/>
      <c r="K63" s="3"/>
      <c r="L63" s="3"/>
      <c r="M63" s="3"/>
      <c r="N63" s="3"/>
      <c r="O63" s="3"/>
      <c r="P63" s="3"/>
      <c r="Q63" s="3"/>
      <c r="R63" s="3"/>
      <c r="S63" s="3"/>
      <c r="T63" s="3"/>
      <c r="U63" s="3"/>
      <c r="V63" s="3"/>
      <c r="W63" s="3"/>
      <c r="X63" s="3"/>
      <c r="Y63" s="3"/>
      <c r="Z63" s="3"/>
      <c r="AA63" s="3"/>
      <c r="AB63" s="3"/>
    </row>
    <row r="64">
      <c r="A64" s="20"/>
      <c r="B64" s="20"/>
      <c r="C64" s="20"/>
      <c r="D64" s="20"/>
      <c r="E64" s="20"/>
      <c r="F64" s="20"/>
      <c r="G64" s="20"/>
      <c r="H64" s="20"/>
      <c r="I64" s="20"/>
      <c r="J64" s="3"/>
      <c r="K64" s="3"/>
      <c r="L64" s="3"/>
      <c r="M64" s="3"/>
      <c r="N64" s="3"/>
      <c r="O64" s="3"/>
      <c r="P64" s="3"/>
      <c r="Q64" s="3"/>
      <c r="R64" s="3"/>
      <c r="S64" s="3"/>
      <c r="T64" s="3"/>
      <c r="U64" s="3"/>
      <c r="V64" s="3"/>
      <c r="W64" s="3"/>
      <c r="X64" s="3"/>
      <c r="Y64" s="3"/>
      <c r="Z64" s="3"/>
      <c r="AA64" s="3"/>
      <c r="AB64" s="3"/>
    </row>
    <row r="65">
      <c r="A65" s="20"/>
      <c r="B65" s="20"/>
      <c r="C65" s="20"/>
      <c r="D65" s="20"/>
      <c r="E65" s="20"/>
      <c r="F65" s="20"/>
      <c r="G65" s="20"/>
      <c r="H65" s="20"/>
      <c r="I65" s="20"/>
      <c r="J65" s="3"/>
      <c r="K65" s="3"/>
      <c r="L65" s="3"/>
      <c r="M65" s="3"/>
      <c r="N65" s="3"/>
      <c r="O65" s="3"/>
      <c r="P65" s="3"/>
      <c r="Q65" s="3"/>
      <c r="R65" s="3"/>
      <c r="S65" s="3"/>
      <c r="T65" s="3"/>
      <c r="U65" s="3"/>
      <c r="V65" s="3"/>
      <c r="W65" s="3"/>
      <c r="X65" s="3"/>
      <c r="Y65" s="3"/>
      <c r="Z65" s="3"/>
      <c r="AA65" s="3"/>
      <c r="AB65" s="3"/>
    </row>
    <row r="66">
      <c r="A66" s="20"/>
      <c r="B66" s="20"/>
      <c r="C66" s="20"/>
      <c r="D66" s="20"/>
      <c r="E66" s="20"/>
      <c r="F66" s="20"/>
      <c r="G66" s="20"/>
      <c r="H66" s="20"/>
      <c r="I66" s="20"/>
      <c r="J66" s="3"/>
      <c r="K66" s="3"/>
      <c r="L66" s="3"/>
      <c r="M66" s="3"/>
      <c r="N66" s="3"/>
      <c r="O66" s="3"/>
      <c r="P66" s="3"/>
      <c r="Q66" s="3"/>
      <c r="R66" s="3"/>
      <c r="S66" s="3"/>
      <c r="T66" s="3"/>
      <c r="U66" s="3"/>
      <c r="V66" s="3"/>
      <c r="W66" s="3"/>
      <c r="X66" s="3"/>
      <c r="Y66" s="3"/>
      <c r="Z66" s="3"/>
      <c r="AA66" s="3"/>
      <c r="AB66" s="3"/>
    </row>
    <row r="67">
      <c r="A67" s="20"/>
      <c r="B67" s="20"/>
      <c r="C67" s="20"/>
      <c r="D67" s="20"/>
      <c r="E67" s="20"/>
      <c r="F67" s="20"/>
      <c r="G67" s="20"/>
      <c r="H67" s="20"/>
      <c r="I67" s="20"/>
      <c r="J67" s="3"/>
      <c r="K67" s="3"/>
      <c r="L67" s="3"/>
      <c r="M67" s="3"/>
      <c r="N67" s="3"/>
      <c r="O67" s="3"/>
      <c r="P67" s="3"/>
      <c r="Q67" s="3"/>
      <c r="R67" s="3"/>
      <c r="S67" s="3"/>
      <c r="T67" s="3"/>
      <c r="U67" s="3"/>
      <c r="V67" s="3"/>
      <c r="W67" s="3"/>
      <c r="X67" s="3"/>
      <c r="Y67" s="3"/>
      <c r="Z67" s="3"/>
      <c r="AA67" s="3"/>
      <c r="AB67" s="3"/>
    </row>
    <row r="68">
      <c r="A68" s="20"/>
      <c r="B68" s="20"/>
      <c r="C68" s="20"/>
      <c r="D68" s="20"/>
      <c r="E68" s="20"/>
      <c r="F68" s="20"/>
      <c r="G68" s="20"/>
      <c r="H68" s="20"/>
      <c r="I68" s="20"/>
      <c r="J68" s="3"/>
      <c r="K68" s="3"/>
      <c r="L68" s="3"/>
      <c r="M68" s="3"/>
      <c r="N68" s="3"/>
      <c r="O68" s="3"/>
      <c r="P68" s="3"/>
      <c r="Q68" s="3"/>
      <c r="R68" s="3"/>
      <c r="S68" s="3"/>
      <c r="T68" s="3"/>
      <c r="U68" s="3"/>
      <c r="V68" s="3"/>
      <c r="W68" s="3"/>
      <c r="X68" s="3"/>
      <c r="Y68" s="3"/>
      <c r="Z68" s="3"/>
      <c r="AA68" s="3"/>
      <c r="AB68" s="3"/>
    </row>
    <row r="69">
      <c r="A69" s="20"/>
      <c r="B69" s="20"/>
      <c r="C69" s="20"/>
      <c r="D69" s="20"/>
      <c r="E69" s="20"/>
      <c r="F69" s="20"/>
      <c r="G69" s="20"/>
      <c r="H69" s="20"/>
      <c r="I69" s="20"/>
      <c r="J69" s="3"/>
      <c r="K69" s="3"/>
      <c r="L69" s="3"/>
      <c r="M69" s="3"/>
      <c r="N69" s="3"/>
      <c r="O69" s="3"/>
      <c r="P69" s="3"/>
      <c r="Q69" s="3"/>
      <c r="R69" s="3"/>
      <c r="S69" s="3"/>
      <c r="T69" s="3"/>
      <c r="U69" s="3"/>
      <c r="V69" s="3"/>
      <c r="W69" s="3"/>
      <c r="X69" s="3"/>
      <c r="Y69" s="3"/>
      <c r="Z69" s="3"/>
      <c r="AA69" s="3"/>
      <c r="AB69" s="3"/>
    </row>
    <row r="70">
      <c r="A70" s="20"/>
      <c r="B70" s="20"/>
      <c r="C70" s="20"/>
      <c r="D70" s="20"/>
      <c r="E70" s="20"/>
      <c r="F70" s="20"/>
      <c r="G70" s="20"/>
      <c r="H70" s="20"/>
      <c r="I70" s="20"/>
      <c r="J70" s="3"/>
      <c r="K70" s="3"/>
      <c r="L70" s="3"/>
      <c r="M70" s="3"/>
      <c r="N70" s="3"/>
      <c r="O70" s="3"/>
      <c r="P70" s="3"/>
      <c r="Q70" s="3"/>
      <c r="R70" s="3"/>
      <c r="S70" s="3"/>
      <c r="T70" s="3"/>
      <c r="U70" s="3"/>
      <c r="V70" s="3"/>
      <c r="W70" s="3"/>
      <c r="X70" s="3"/>
      <c r="Y70" s="3"/>
      <c r="Z70" s="3"/>
      <c r="AA70" s="3"/>
      <c r="AB70" s="3"/>
    </row>
    <row r="71">
      <c r="A71" s="20"/>
      <c r="B71" s="20"/>
      <c r="C71" s="20"/>
      <c r="D71" s="20"/>
      <c r="E71" s="20"/>
      <c r="F71" s="20"/>
      <c r="G71" s="20"/>
      <c r="H71" s="20"/>
      <c r="I71" s="20"/>
      <c r="J71" s="3"/>
      <c r="K71" s="3"/>
      <c r="L71" s="3"/>
      <c r="M71" s="3"/>
      <c r="N71" s="3"/>
      <c r="O71" s="3"/>
      <c r="P71" s="3"/>
      <c r="Q71" s="3"/>
      <c r="R71" s="3"/>
      <c r="S71" s="3"/>
      <c r="T71" s="3"/>
      <c r="U71" s="3"/>
      <c r="V71" s="3"/>
      <c r="W71" s="3"/>
      <c r="X71" s="3"/>
      <c r="Y71" s="3"/>
      <c r="Z71" s="3"/>
      <c r="AA71" s="3"/>
      <c r="AB71" s="3"/>
    </row>
    <row r="72">
      <c r="A72" s="20"/>
      <c r="B72" s="20"/>
      <c r="C72" s="20"/>
      <c r="D72" s="20"/>
      <c r="E72" s="20"/>
      <c r="F72" s="20"/>
      <c r="G72" s="20"/>
      <c r="H72" s="20"/>
      <c r="I72" s="20"/>
      <c r="J72" s="3"/>
      <c r="K72" s="3"/>
      <c r="L72" s="3"/>
      <c r="M72" s="3"/>
      <c r="N72" s="3"/>
      <c r="O72" s="3"/>
      <c r="P72" s="3"/>
      <c r="Q72" s="3"/>
      <c r="R72" s="3"/>
      <c r="S72" s="3"/>
      <c r="T72" s="3"/>
      <c r="U72" s="3"/>
      <c r="V72" s="3"/>
      <c r="W72" s="3"/>
      <c r="X72" s="3"/>
      <c r="Y72" s="3"/>
      <c r="Z72" s="3"/>
      <c r="AA72" s="3"/>
      <c r="AB72" s="3"/>
    </row>
    <row r="73">
      <c r="A73" s="20"/>
      <c r="B73" s="20"/>
      <c r="C73" s="20"/>
      <c r="D73" s="20"/>
      <c r="E73" s="20"/>
      <c r="F73" s="20"/>
      <c r="G73" s="20"/>
      <c r="H73" s="20"/>
      <c r="I73" s="20"/>
      <c r="J73" s="3"/>
      <c r="K73" s="3"/>
      <c r="L73" s="3"/>
      <c r="M73" s="3"/>
      <c r="N73" s="3"/>
      <c r="O73" s="3"/>
      <c r="P73" s="3"/>
      <c r="Q73" s="3"/>
      <c r="R73" s="3"/>
      <c r="S73" s="3"/>
      <c r="T73" s="3"/>
      <c r="U73" s="3"/>
      <c r="V73" s="3"/>
      <c r="W73" s="3"/>
      <c r="X73" s="3"/>
      <c r="Y73" s="3"/>
      <c r="Z73" s="3"/>
      <c r="AA73" s="3"/>
      <c r="AB73" s="3"/>
    </row>
    <row r="74">
      <c r="A74" s="20"/>
      <c r="B74" s="20"/>
      <c r="C74" s="20"/>
      <c r="D74" s="20"/>
      <c r="E74" s="20"/>
      <c r="F74" s="20"/>
      <c r="G74" s="20"/>
      <c r="H74" s="20"/>
      <c r="I74" s="20"/>
      <c r="J74" s="3"/>
      <c r="K74" s="3"/>
      <c r="L74" s="3"/>
      <c r="M74" s="3"/>
      <c r="N74" s="3"/>
      <c r="O74" s="3"/>
      <c r="P74" s="3"/>
      <c r="Q74" s="3"/>
      <c r="R74" s="3"/>
      <c r="S74" s="3"/>
      <c r="T74" s="3"/>
      <c r="U74" s="3"/>
      <c r="V74" s="3"/>
      <c r="W74" s="3"/>
      <c r="X74" s="3"/>
      <c r="Y74" s="3"/>
      <c r="Z74" s="3"/>
      <c r="AA74" s="3"/>
      <c r="AB74" s="3"/>
    </row>
    <row r="75">
      <c r="A75" s="20"/>
      <c r="B75" s="20"/>
      <c r="C75" s="20"/>
      <c r="D75" s="20"/>
      <c r="E75" s="20"/>
      <c r="F75" s="20"/>
      <c r="G75" s="20"/>
      <c r="H75" s="20"/>
      <c r="I75" s="20"/>
      <c r="J75" s="3"/>
      <c r="K75" s="3"/>
      <c r="L75" s="3"/>
      <c r="M75" s="3"/>
      <c r="N75" s="3"/>
      <c r="O75" s="3"/>
      <c r="P75" s="3"/>
      <c r="Q75" s="3"/>
      <c r="R75" s="3"/>
      <c r="S75" s="3"/>
      <c r="T75" s="3"/>
      <c r="U75" s="3"/>
      <c r="V75" s="3"/>
      <c r="W75" s="3"/>
      <c r="X75" s="3"/>
      <c r="Y75" s="3"/>
      <c r="Z75" s="3"/>
      <c r="AA75" s="3"/>
      <c r="AB75" s="3"/>
    </row>
    <row r="76">
      <c r="A76" s="20"/>
      <c r="B76" s="20"/>
      <c r="C76" s="20"/>
      <c r="D76" s="20"/>
      <c r="E76" s="20"/>
      <c r="F76" s="20"/>
      <c r="G76" s="20"/>
      <c r="H76" s="20"/>
      <c r="I76" s="20"/>
      <c r="J76" s="3"/>
      <c r="K76" s="3"/>
      <c r="L76" s="3"/>
      <c r="M76" s="3"/>
      <c r="N76" s="3"/>
      <c r="O76" s="3"/>
      <c r="P76" s="3"/>
      <c r="Q76" s="3"/>
      <c r="R76" s="3"/>
      <c r="S76" s="3"/>
      <c r="T76" s="3"/>
      <c r="U76" s="3"/>
      <c r="V76" s="3"/>
      <c r="W76" s="3"/>
      <c r="X76" s="3"/>
      <c r="Y76" s="3"/>
      <c r="Z76" s="3"/>
      <c r="AA76" s="3"/>
      <c r="AB76" s="3"/>
    </row>
    <row r="77">
      <c r="A77" s="20"/>
      <c r="B77" s="20"/>
      <c r="C77" s="20"/>
      <c r="D77" s="20"/>
      <c r="E77" s="20"/>
      <c r="F77" s="20"/>
      <c r="G77" s="20"/>
      <c r="H77" s="20"/>
      <c r="I77" s="20"/>
      <c r="J77" s="3"/>
      <c r="K77" s="3"/>
      <c r="L77" s="3"/>
      <c r="M77" s="3"/>
      <c r="N77" s="3"/>
      <c r="O77" s="3"/>
      <c r="P77" s="3"/>
      <c r="Q77" s="3"/>
      <c r="R77" s="3"/>
      <c r="S77" s="3"/>
      <c r="T77" s="3"/>
      <c r="U77" s="3"/>
      <c r="V77" s="3"/>
      <c r="W77" s="3"/>
      <c r="X77" s="3"/>
      <c r="Y77" s="3"/>
      <c r="Z77" s="3"/>
      <c r="AA77" s="3"/>
      <c r="AB77" s="3"/>
    </row>
    <row r="78">
      <c r="A78" s="20"/>
      <c r="B78" s="20"/>
      <c r="C78" s="20"/>
      <c r="D78" s="20"/>
      <c r="E78" s="20"/>
      <c r="F78" s="20"/>
      <c r="G78" s="20"/>
      <c r="H78" s="20"/>
      <c r="I78" s="20"/>
      <c r="J78" s="3"/>
      <c r="K78" s="3"/>
      <c r="L78" s="3"/>
      <c r="M78" s="3"/>
      <c r="N78" s="3"/>
      <c r="O78" s="3"/>
      <c r="P78" s="3"/>
      <c r="Q78" s="3"/>
      <c r="R78" s="3"/>
      <c r="S78" s="3"/>
      <c r="T78" s="3"/>
      <c r="U78" s="3"/>
      <c r="V78" s="3"/>
      <c r="W78" s="3"/>
      <c r="X78" s="3"/>
      <c r="Y78" s="3"/>
      <c r="Z78" s="3"/>
      <c r="AA78" s="3"/>
      <c r="AB78" s="3"/>
    </row>
    <row r="79">
      <c r="A79" s="20"/>
      <c r="B79" s="20"/>
      <c r="C79" s="20"/>
      <c r="D79" s="20"/>
      <c r="E79" s="20"/>
      <c r="F79" s="20"/>
      <c r="G79" s="20"/>
      <c r="H79" s="20"/>
      <c r="I79" s="20"/>
      <c r="J79" s="3"/>
      <c r="K79" s="3"/>
      <c r="L79" s="3"/>
      <c r="M79" s="3"/>
      <c r="N79" s="3"/>
      <c r="O79" s="3"/>
      <c r="P79" s="3"/>
      <c r="Q79" s="3"/>
      <c r="R79" s="3"/>
      <c r="S79" s="3"/>
      <c r="T79" s="3"/>
      <c r="U79" s="3"/>
      <c r="V79" s="3"/>
      <c r="W79" s="3"/>
      <c r="X79" s="3"/>
      <c r="Y79" s="3"/>
      <c r="Z79" s="3"/>
      <c r="AA79" s="3"/>
      <c r="AB79" s="3"/>
    </row>
    <row r="80">
      <c r="A80" s="20"/>
      <c r="B80" s="20"/>
      <c r="C80" s="20"/>
      <c r="D80" s="20"/>
      <c r="E80" s="20"/>
      <c r="F80" s="20"/>
      <c r="G80" s="20"/>
      <c r="H80" s="20"/>
      <c r="I80" s="20"/>
      <c r="J80" s="3"/>
      <c r="K80" s="3"/>
      <c r="L80" s="3"/>
      <c r="M80" s="3"/>
      <c r="N80" s="3"/>
      <c r="O80" s="3"/>
      <c r="P80" s="3"/>
      <c r="Q80" s="3"/>
      <c r="R80" s="3"/>
      <c r="S80" s="3"/>
      <c r="T80" s="3"/>
      <c r="U80" s="3"/>
      <c r="V80" s="3"/>
      <c r="W80" s="3"/>
      <c r="X80" s="3"/>
      <c r="Y80" s="3"/>
      <c r="Z80" s="3"/>
      <c r="AA80" s="3"/>
      <c r="AB80" s="3"/>
    </row>
    <row r="81">
      <c r="A81" s="20"/>
      <c r="B81" s="20"/>
      <c r="C81" s="20"/>
      <c r="D81" s="20"/>
      <c r="E81" s="20"/>
      <c r="F81" s="20"/>
      <c r="G81" s="20"/>
      <c r="H81" s="20"/>
      <c r="I81" s="20"/>
      <c r="J81" s="3"/>
      <c r="K81" s="3"/>
      <c r="L81" s="3"/>
      <c r="M81" s="3"/>
      <c r="N81" s="3"/>
      <c r="O81" s="3"/>
      <c r="P81" s="3"/>
      <c r="Q81" s="3"/>
      <c r="R81" s="3"/>
      <c r="S81" s="3"/>
      <c r="T81" s="3"/>
      <c r="U81" s="3"/>
      <c r="V81" s="3"/>
      <c r="W81" s="3"/>
      <c r="X81" s="3"/>
      <c r="Y81" s="3"/>
      <c r="Z81" s="3"/>
      <c r="AA81" s="3"/>
      <c r="AB81" s="3"/>
    </row>
    <row r="82">
      <c r="A82" s="20"/>
      <c r="B82" s="20"/>
      <c r="C82" s="20"/>
      <c r="D82" s="20"/>
      <c r="E82" s="20"/>
      <c r="F82" s="20"/>
      <c r="G82" s="20"/>
      <c r="H82" s="20"/>
      <c r="I82" s="20"/>
      <c r="J82" s="3"/>
      <c r="K82" s="3"/>
      <c r="L82" s="3"/>
      <c r="M82" s="3"/>
      <c r="N82" s="3"/>
      <c r="O82" s="3"/>
      <c r="P82" s="3"/>
      <c r="Q82" s="3"/>
      <c r="R82" s="3"/>
      <c r="S82" s="3"/>
      <c r="T82" s="3"/>
      <c r="U82" s="3"/>
      <c r="V82" s="3"/>
      <c r="W82" s="3"/>
      <c r="X82" s="3"/>
      <c r="Y82" s="3"/>
      <c r="Z82" s="3"/>
      <c r="AA82" s="3"/>
      <c r="AB82" s="3"/>
    </row>
    <row r="83">
      <c r="A83" s="20"/>
      <c r="B83" s="20"/>
      <c r="C83" s="20"/>
      <c r="D83" s="20"/>
      <c r="E83" s="20"/>
      <c r="F83" s="20"/>
      <c r="G83" s="20"/>
      <c r="H83" s="20"/>
      <c r="I83" s="20"/>
      <c r="J83" s="3"/>
      <c r="K83" s="3"/>
      <c r="L83" s="3"/>
      <c r="M83" s="3"/>
      <c r="N83" s="3"/>
      <c r="O83" s="3"/>
      <c r="P83" s="3"/>
      <c r="Q83" s="3"/>
      <c r="R83" s="3"/>
      <c r="S83" s="3"/>
      <c r="T83" s="3"/>
      <c r="U83" s="3"/>
      <c r="V83" s="3"/>
      <c r="W83" s="3"/>
      <c r="X83" s="3"/>
      <c r="Y83" s="3"/>
      <c r="Z83" s="3"/>
      <c r="AA83" s="3"/>
      <c r="AB83" s="3"/>
    </row>
    <row r="84">
      <c r="A84" s="20"/>
      <c r="B84" s="20"/>
      <c r="C84" s="20"/>
      <c r="D84" s="20"/>
      <c r="E84" s="20"/>
      <c r="F84" s="20"/>
      <c r="G84" s="20"/>
      <c r="H84" s="20"/>
      <c r="I84" s="20"/>
      <c r="J84" s="3"/>
      <c r="K84" s="3"/>
      <c r="L84" s="3"/>
      <c r="M84" s="3"/>
      <c r="N84" s="3"/>
      <c r="O84" s="3"/>
      <c r="P84" s="3"/>
      <c r="Q84" s="3"/>
      <c r="R84" s="3"/>
      <c r="S84" s="3"/>
      <c r="T84" s="3"/>
      <c r="U84" s="3"/>
      <c r="V84" s="3"/>
      <c r="W84" s="3"/>
      <c r="X84" s="3"/>
      <c r="Y84" s="3"/>
      <c r="Z84" s="3"/>
      <c r="AA84" s="3"/>
      <c r="AB84" s="3"/>
    </row>
    <row r="85">
      <c r="A85" s="20"/>
      <c r="B85" s="20"/>
      <c r="C85" s="20"/>
      <c r="D85" s="20"/>
      <c r="E85" s="20"/>
      <c r="F85" s="20"/>
      <c r="G85" s="20"/>
      <c r="H85" s="20"/>
      <c r="I85" s="20"/>
      <c r="J85" s="3"/>
      <c r="K85" s="3"/>
      <c r="L85" s="3"/>
      <c r="M85" s="3"/>
      <c r="N85" s="3"/>
      <c r="O85" s="3"/>
      <c r="P85" s="3"/>
      <c r="Q85" s="3"/>
      <c r="R85" s="3"/>
      <c r="S85" s="3"/>
      <c r="T85" s="3"/>
      <c r="U85" s="3"/>
      <c r="V85" s="3"/>
      <c r="W85" s="3"/>
      <c r="X85" s="3"/>
      <c r="Y85" s="3"/>
      <c r="Z85" s="3"/>
      <c r="AA85" s="3"/>
      <c r="AB85" s="3"/>
    </row>
    <row r="86">
      <c r="A86" s="20"/>
      <c r="B86" s="20"/>
      <c r="C86" s="20"/>
      <c r="D86" s="20"/>
      <c r="E86" s="20"/>
      <c r="F86" s="20"/>
      <c r="G86" s="20"/>
      <c r="H86" s="20"/>
      <c r="I86" s="20"/>
      <c r="J86" s="3"/>
      <c r="K86" s="3"/>
      <c r="L86" s="3"/>
      <c r="M86" s="3"/>
      <c r="N86" s="3"/>
      <c r="O86" s="3"/>
      <c r="P86" s="3"/>
      <c r="Q86" s="3"/>
      <c r="R86" s="3"/>
      <c r="S86" s="3"/>
      <c r="T86" s="3"/>
      <c r="U86" s="3"/>
      <c r="V86" s="3"/>
      <c r="W86" s="3"/>
      <c r="X86" s="3"/>
      <c r="Y86" s="3"/>
      <c r="Z86" s="3"/>
      <c r="AA86" s="3"/>
      <c r="AB86" s="3"/>
    </row>
    <row r="87">
      <c r="A87" s="20"/>
      <c r="B87" s="20"/>
      <c r="C87" s="20"/>
      <c r="D87" s="20"/>
      <c r="E87" s="20"/>
      <c r="F87" s="20"/>
      <c r="G87" s="20"/>
      <c r="H87" s="20"/>
      <c r="I87" s="20"/>
      <c r="J87" s="3"/>
      <c r="K87" s="3"/>
      <c r="L87" s="3"/>
      <c r="M87" s="3"/>
      <c r="N87" s="3"/>
      <c r="O87" s="3"/>
      <c r="P87" s="3"/>
      <c r="Q87" s="3"/>
      <c r="R87" s="3"/>
      <c r="S87" s="3"/>
      <c r="T87" s="3"/>
      <c r="U87" s="3"/>
      <c r="V87" s="3"/>
      <c r="W87" s="3"/>
      <c r="X87" s="3"/>
      <c r="Y87" s="3"/>
      <c r="Z87" s="3"/>
      <c r="AA87" s="3"/>
      <c r="AB87" s="3"/>
    </row>
    <row r="88">
      <c r="A88" s="20"/>
      <c r="B88" s="20"/>
      <c r="C88" s="20"/>
      <c r="D88" s="20"/>
      <c r="E88" s="20"/>
      <c r="F88" s="20"/>
      <c r="G88" s="20"/>
      <c r="H88" s="20"/>
      <c r="I88" s="20"/>
      <c r="J88" s="3"/>
      <c r="K88" s="3"/>
      <c r="L88" s="3"/>
      <c r="M88" s="3"/>
      <c r="N88" s="3"/>
      <c r="O88" s="3"/>
      <c r="P88" s="3"/>
      <c r="Q88" s="3"/>
      <c r="R88" s="3"/>
      <c r="S88" s="3"/>
      <c r="T88" s="3"/>
      <c r="U88" s="3"/>
      <c r="V88" s="3"/>
      <c r="W88" s="3"/>
      <c r="X88" s="3"/>
      <c r="Y88" s="3"/>
      <c r="Z88" s="3"/>
      <c r="AA88" s="3"/>
      <c r="AB88" s="3"/>
    </row>
    <row r="89">
      <c r="A89" s="20"/>
      <c r="B89" s="20"/>
      <c r="C89" s="20"/>
      <c r="D89" s="20"/>
      <c r="E89" s="20"/>
      <c r="F89" s="20"/>
      <c r="G89" s="20"/>
      <c r="H89" s="20"/>
      <c r="I89" s="20"/>
      <c r="J89" s="3"/>
      <c r="K89" s="3"/>
      <c r="L89" s="3"/>
      <c r="M89" s="3"/>
      <c r="N89" s="3"/>
      <c r="O89" s="3"/>
      <c r="P89" s="3"/>
      <c r="Q89" s="3"/>
      <c r="R89" s="3"/>
      <c r="S89" s="3"/>
      <c r="T89" s="3"/>
      <c r="U89" s="3"/>
      <c r="V89" s="3"/>
      <c r="W89" s="3"/>
      <c r="X89" s="3"/>
      <c r="Y89" s="3"/>
      <c r="Z89" s="3"/>
      <c r="AA89" s="3"/>
      <c r="AB89" s="3"/>
    </row>
    <row r="90">
      <c r="A90" s="20"/>
      <c r="B90" s="20"/>
      <c r="C90" s="20"/>
      <c r="D90" s="20"/>
      <c r="E90" s="20"/>
      <c r="F90" s="20"/>
      <c r="G90" s="20"/>
      <c r="H90" s="20"/>
      <c r="I90" s="20"/>
      <c r="J90" s="3"/>
      <c r="K90" s="3"/>
      <c r="L90" s="3"/>
      <c r="M90" s="3"/>
      <c r="N90" s="3"/>
      <c r="O90" s="3"/>
      <c r="P90" s="3"/>
      <c r="Q90" s="3"/>
      <c r="R90" s="3"/>
      <c r="S90" s="3"/>
      <c r="T90" s="3"/>
      <c r="U90" s="3"/>
      <c r="V90" s="3"/>
      <c r="W90" s="3"/>
      <c r="X90" s="3"/>
      <c r="Y90" s="3"/>
      <c r="Z90" s="3"/>
      <c r="AA90" s="3"/>
      <c r="AB90" s="3"/>
    </row>
    <row r="91">
      <c r="A91" s="20"/>
      <c r="B91" s="20"/>
      <c r="C91" s="20"/>
      <c r="D91" s="20"/>
      <c r="E91" s="20"/>
      <c r="F91" s="20"/>
      <c r="G91" s="20"/>
      <c r="H91" s="20"/>
      <c r="I91" s="20"/>
      <c r="J91" s="3"/>
      <c r="K91" s="3"/>
      <c r="L91" s="3"/>
      <c r="M91" s="3"/>
      <c r="N91" s="3"/>
      <c r="O91" s="3"/>
      <c r="P91" s="3"/>
      <c r="Q91" s="3"/>
      <c r="R91" s="3"/>
      <c r="S91" s="3"/>
      <c r="T91" s="3"/>
      <c r="U91" s="3"/>
      <c r="V91" s="3"/>
      <c r="W91" s="3"/>
      <c r="X91" s="3"/>
      <c r="Y91" s="3"/>
      <c r="Z91" s="3"/>
      <c r="AA91" s="3"/>
      <c r="AB91" s="3"/>
    </row>
    <row r="92">
      <c r="A92" s="20"/>
      <c r="B92" s="20"/>
      <c r="C92" s="20"/>
      <c r="D92" s="20"/>
      <c r="E92" s="20"/>
      <c r="F92" s="20"/>
      <c r="G92" s="20"/>
      <c r="H92" s="20"/>
      <c r="I92" s="20"/>
      <c r="J92" s="3"/>
      <c r="K92" s="3"/>
      <c r="L92" s="3"/>
      <c r="M92" s="3"/>
      <c r="N92" s="3"/>
      <c r="O92" s="3"/>
      <c r="P92" s="3"/>
      <c r="Q92" s="3"/>
      <c r="R92" s="3"/>
      <c r="S92" s="3"/>
      <c r="T92" s="3"/>
      <c r="U92" s="3"/>
      <c r="V92" s="3"/>
      <c r="W92" s="3"/>
      <c r="X92" s="3"/>
      <c r="Y92" s="3"/>
      <c r="Z92" s="3"/>
      <c r="AA92" s="3"/>
      <c r="AB92" s="3"/>
    </row>
    <row r="93">
      <c r="A93" s="20"/>
      <c r="B93" s="20"/>
      <c r="C93" s="20"/>
      <c r="D93" s="20"/>
      <c r="E93" s="20"/>
      <c r="F93" s="20"/>
      <c r="G93" s="20"/>
      <c r="H93" s="20"/>
      <c r="I93" s="20"/>
      <c r="J93" s="3"/>
      <c r="K93" s="3"/>
      <c r="L93" s="3"/>
      <c r="M93" s="3"/>
      <c r="N93" s="3"/>
      <c r="O93" s="3"/>
      <c r="P93" s="3"/>
      <c r="Q93" s="3"/>
      <c r="R93" s="3"/>
      <c r="S93" s="3"/>
      <c r="T93" s="3"/>
      <c r="U93" s="3"/>
      <c r="V93" s="3"/>
      <c r="W93" s="3"/>
      <c r="X93" s="3"/>
      <c r="Y93" s="3"/>
      <c r="Z93" s="3"/>
      <c r="AA93" s="3"/>
      <c r="AB93" s="3"/>
    </row>
    <row r="94">
      <c r="A94" s="20"/>
      <c r="B94" s="20"/>
      <c r="C94" s="20"/>
      <c r="D94" s="20"/>
      <c r="E94" s="20"/>
      <c r="F94" s="20"/>
      <c r="G94" s="20"/>
      <c r="H94" s="20"/>
      <c r="I94" s="20"/>
      <c r="J94" s="3"/>
      <c r="K94" s="3"/>
      <c r="L94" s="3"/>
      <c r="M94" s="3"/>
      <c r="N94" s="3"/>
      <c r="O94" s="3"/>
      <c r="P94" s="3"/>
      <c r="Q94" s="3"/>
      <c r="R94" s="3"/>
      <c r="S94" s="3"/>
      <c r="T94" s="3"/>
      <c r="U94" s="3"/>
      <c r="V94" s="3"/>
      <c r="W94" s="3"/>
      <c r="X94" s="3"/>
      <c r="Y94" s="3"/>
      <c r="Z94" s="3"/>
      <c r="AA94" s="3"/>
      <c r="AB94" s="3"/>
    </row>
    <row r="95">
      <c r="A95" s="20"/>
      <c r="B95" s="20"/>
      <c r="C95" s="20"/>
      <c r="D95" s="20"/>
      <c r="E95" s="20"/>
      <c r="F95" s="20"/>
      <c r="G95" s="20"/>
      <c r="H95" s="20"/>
      <c r="I95" s="20"/>
      <c r="J95" s="3"/>
      <c r="K95" s="3"/>
      <c r="L95" s="3"/>
      <c r="M95" s="3"/>
      <c r="N95" s="3"/>
      <c r="O95" s="3"/>
      <c r="P95" s="3"/>
      <c r="Q95" s="3"/>
      <c r="R95" s="3"/>
      <c r="S95" s="3"/>
      <c r="T95" s="3"/>
      <c r="U95" s="3"/>
      <c r="V95" s="3"/>
      <c r="W95" s="3"/>
      <c r="X95" s="3"/>
      <c r="Y95" s="3"/>
      <c r="Z95" s="3"/>
      <c r="AA95" s="3"/>
      <c r="AB95" s="3"/>
    </row>
    <row r="96">
      <c r="A96" s="20"/>
      <c r="B96" s="20"/>
      <c r="C96" s="20"/>
      <c r="D96" s="20"/>
      <c r="E96" s="20"/>
      <c r="F96" s="20"/>
      <c r="G96" s="20"/>
      <c r="H96" s="20"/>
      <c r="I96" s="20"/>
      <c r="J96" s="3"/>
      <c r="K96" s="3"/>
      <c r="L96" s="3"/>
      <c r="M96" s="3"/>
      <c r="N96" s="3"/>
      <c r="O96" s="3"/>
      <c r="P96" s="3"/>
      <c r="Q96" s="3"/>
      <c r="R96" s="3"/>
      <c r="S96" s="3"/>
      <c r="T96" s="3"/>
      <c r="U96" s="3"/>
      <c r="V96" s="3"/>
      <c r="W96" s="3"/>
      <c r="X96" s="3"/>
      <c r="Y96" s="3"/>
      <c r="Z96" s="3"/>
      <c r="AA96" s="3"/>
      <c r="AB96" s="3"/>
    </row>
    <row r="97">
      <c r="A97" s="20"/>
      <c r="B97" s="20"/>
      <c r="C97" s="20"/>
      <c r="D97" s="20"/>
      <c r="E97" s="20"/>
      <c r="F97" s="20"/>
      <c r="G97" s="20"/>
      <c r="H97" s="20"/>
      <c r="I97" s="20"/>
      <c r="J97" s="3"/>
      <c r="K97" s="3"/>
      <c r="L97" s="3"/>
      <c r="M97" s="3"/>
      <c r="N97" s="3"/>
      <c r="O97" s="3"/>
      <c r="P97" s="3"/>
      <c r="Q97" s="3"/>
      <c r="R97" s="3"/>
      <c r="S97" s="3"/>
      <c r="T97" s="3"/>
      <c r="U97" s="3"/>
      <c r="V97" s="3"/>
      <c r="W97" s="3"/>
      <c r="X97" s="3"/>
      <c r="Y97" s="3"/>
      <c r="Z97" s="3"/>
      <c r="AA97" s="3"/>
      <c r="AB97" s="3"/>
    </row>
    <row r="98">
      <c r="A98" s="20"/>
      <c r="B98" s="20"/>
      <c r="C98" s="20"/>
      <c r="D98" s="20"/>
      <c r="E98" s="20"/>
      <c r="F98" s="20"/>
      <c r="G98" s="20"/>
      <c r="H98" s="20"/>
      <c r="I98" s="20"/>
      <c r="J98" s="3"/>
      <c r="K98" s="3"/>
      <c r="L98" s="3"/>
      <c r="M98" s="3"/>
      <c r="N98" s="3"/>
      <c r="O98" s="3"/>
      <c r="P98" s="3"/>
      <c r="Q98" s="3"/>
      <c r="R98" s="3"/>
      <c r="S98" s="3"/>
      <c r="T98" s="3"/>
      <c r="U98" s="3"/>
      <c r="V98" s="3"/>
      <c r="W98" s="3"/>
      <c r="X98" s="3"/>
      <c r="Y98" s="3"/>
      <c r="Z98" s="3"/>
      <c r="AA98" s="3"/>
      <c r="AB98" s="3"/>
    </row>
    <row r="99">
      <c r="A99" s="20"/>
      <c r="B99" s="20"/>
      <c r="C99" s="20"/>
      <c r="D99" s="20"/>
      <c r="E99" s="20"/>
      <c r="F99" s="20"/>
      <c r="G99" s="20"/>
      <c r="H99" s="20"/>
      <c r="I99" s="20"/>
      <c r="J99" s="3"/>
      <c r="K99" s="3"/>
      <c r="L99" s="3"/>
      <c r="M99" s="3"/>
      <c r="N99" s="3"/>
      <c r="O99" s="3"/>
      <c r="P99" s="3"/>
      <c r="Q99" s="3"/>
      <c r="R99" s="3"/>
      <c r="S99" s="3"/>
      <c r="T99" s="3"/>
      <c r="U99" s="3"/>
      <c r="V99" s="3"/>
      <c r="W99" s="3"/>
      <c r="X99" s="3"/>
      <c r="Y99" s="3"/>
      <c r="Z99" s="3"/>
      <c r="AA99" s="3"/>
      <c r="AB99" s="3"/>
    </row>
    <row r="100">
      <c r="A100" s="20"/>
      <c r="B100" s="20"/>
      <c r="C100" s="20"/>
      <c r="D100" s="20"/>
      <c r="E100" s="20"/>
      <c r="F100" s="20"/>
      <c r="G100" s="20"/>
      <c r="H100" s="20"/>
      <c r="I100" s="20"/>
      <c r="J100" s="3"/>
      <c r="K100" s="3"/>
      <c r="L100" s="3"/>
      <c r="M100" s="3"/>
      <c r="N100" s="3"/>
      <c r="O100" s="3"/>
      <c r="P100" s="3"/>
      <c r="Q100" s="3"/>
      <c r="R100" s="3"/>
      <c r="S100" s="3"/>
      <c r="T100" s="3"/>
      <c r="U100" s="3"/>
      <c r="V100" s="3"/>
      <c r="W100" s="3"/>
      <c r="X100" s="3"/>
      <c r="Y100" s="3"/>
      <c r="Z100" s="3"/>
      <c r="AA100" s="3"/>
      <c r="AB100" s="3"/>
    </row>
    <row r="101">
      <c r="A101" s="20"/>
      <c r="B101" s="20"/>
      <c r="C101" s="20"/>
      <c r="D101" s="20"/>
      <c r="E101" s="20"/>
      <c r="F101" s="20"/>
      <c r="G101" s="20"/>
      <c r="H101" s="20"/>
      <c r="I101" s="20"/>
      <c r="J101" s="3"/>
      <c r="K101" s="3"/>
      <c r="L101" s="3"/>
      <c r="M101" s="3"/>
      <c r="N101" s="3"/>
      <c r="O101" s="3"/>
      <c r="P101" s="3"/>
      <c r="Q101" s="3"/>
      <c r="R101" s="3"/>
      <c r="S101" s="3"/>
      <c r="T101" s="3"/>
      <c r="U101" s="3"/>
      <c r="V101" s="3"/>
      <c r="W101" s="3"/>
      <c r="X101" s="3"/>
      <c r="Y101" s="3"/>
      <c r="Z101" s="3"/>
      <c r="AA101" s="3"/>
      <c r="AB101" s="3"/>
    </row>
    <row r="102">
      <c r="A102" s="20"/>
      <c r="B102" s="20"/>
      <c r="C102" s="20"/>
      <c r="D102" s="20"/>
      <c r="E102" s="20"/>
      <c r="F102" s="20"/>
      <c r="G102" s="20"/>
      <c r="H102" s="20"/>
      <c r="I102" s="20"/>
      <c r="J102" s="3"/>
      <c r="K102" s="3"/>
      <c r="L102" s="3"/>
      <c r="M102" s="3"/>
      <c r="N102" s="3"/>
      <c r="O102" s="3"/>
      <c r="P102" s="3"/>
      <c r="Q102" s="3"/>
      <c r="R102" s="3"/>
      <c r="S102" s="3"/>
      <c r="T102" s="3"/>
      <c r="U102" s="3"/>
      <c r="V102" s="3"/>
      <c r="W102" s="3"/>
      <c r="X102" s="3"/>
      <c r="Y102" s="3"/>
      <c r="Z102" s="3"/>
      <c r="AA102" s="3"/>
      <c r="AB102" s="3"/>
    </row>
    <row r="103">
      <c r="A103" s="20"/>
      <c r="B103" s="20"/>
      <c r="C103" s="20"/>
      <c r="D103" s="20"/>
      <c r="E103" s="20"/>
      <c r="F103" s="20"/>
      <c r="G103" s="20"/>
      <c r="H103" s="20"/>
      <c r="I103" s="20"/>
      <c r="J103" s="3"/>
      <c r="K103" s="3"/>
      <c r="L103" s="3"/>
      <c r="M103" s="3"/>
      <c r="N103" s="3"/>
      <c r="O103" s="3"/>
      <c r="P103" s="3"/>
      <c r="Q103" s="3"/>
      <c r="R103" s="3"/>
      <c r="S103" s="3"/>
      <c r="T103" s="3"/>
      <c r="U103" s="3"/>
      <c r="V103" s="3"/>
      <c r="W103" s="3"/>
      <c r="X103" s="3"/>
      <c r="Y103" s="3"/>
      <c r="Z103" s="3"/>
      <c r="AA103" s="3"/>
      <c r="AB103" s="3"/>
    </row>
    <row r="104">
      <c r="A104" s="20"/>
      <c r="B104" s="20"/>
      <c r="C104" s="20"/>
      <c r="D104" s="20"/>
      <c r="E104" s="20"/>
      <c r="F104" s="20"/>
      <c r="G104" s="20"/>
      <c r="H104" s="20"/>
      <c r="I104" s="20"/>
      <c r="J104" s="3"/>
      <c r="K104" s="3"/>
      <c r="L104" s="3"/>
      <c r="M104" s="3"/>
      <c r="N104" s="3"/>
      <c r="O104" s="3"/>
      <c r="P104" s="3"/>
      <c r="Q104" s="3"/>
      <c r="R104" s="3"/>
      <c r="S104" s="3"/>
      <c r="T104" s="3"/>
      <c r="U104" s="3"/>
      <c r="V104" s="3"/>
      <c r="W104" s="3"/>
      <c r="X104" s="3"/>
      <c r="Y104" s="3"/>
      <c r="Z104" s="3"/>
      <c r="AA104" s="3"/>
      <c r="AB104" s="3"/>
    </row>
    <row r="105">
      <c r="A105" s="20"/>
      <c r="B105" s="20"/>
      <c r="C105" s="20"/>
      <c r="D105" s="20"/>
      <c r="E105" s="20"/>
      <c r="F105" s="20"/>
      <c r="G105" s="20"/>
      <c r="H105" s="20"/>
      <c r="I105" s="20"/>
      <c r="J105" s="3"/>
      <c r="K105" s="3"/>
      <c r="L105" s="3"/>
      <c r="M105" s="3"/>
      <c r="N105" s="3"/>
      <c r="O105" s="3"/>
      <c r="P105" s="3"/>
      <c r="Q105" s="3"/>
      <c r="R105" s="3"/>
      <c r="S105" s="3"/>
      <c r="T105" s="3"/>
      <c r="U105" s="3"/>
      <c r="V105" s="3"/>
      <c r="W105" s="3"/>
      <c r="X105" s="3"/>
      <c r="Y105" s="3"/>
      <c r="Z105" s="3"/>
      <c r="AA105" s="3"/>
      <c r="AB105" s="3"/>
    </row>
    <row r="106">
      <c r="A106" s="20"/>
      <c r="B106" s="20"/>
      <c r="C106" s="20"/>
      <c r="D106" s="20"/>
      <c r="E106" s="20"/>
      <c r="F106" s="20"/>
      <c r="G106" s="20"/>
      <c r="H106" s="20"/>
      <c r="I106" s="20"/>
      <c r="J106" s="3"/>
      <c r="K106" s="3"/>
      <c r="L106" s="3"/>
      <c r="M106" s="3"/>
      <c r="N106" s="3"/>
      <c r="O106" s="3"/>
      <c r="P106" s="3"/>
      <c r="Q106" s="3"/>
      <c r="R106" s="3"/>
      <c r="S106" s="3"/>
      <c r="T106" s="3"/>
      <c r="U106" s="3"/>
      <c r="V106" s="3"/>
      <c r="W106" s="3"/>
      <c r="X106" s="3"/>
      <c r="Y106" s="3"/>
      <c r="Z106" s="3"/>
      <c r="AA106" s="3"/>
      <c r="AB106" s="3"/>
    </row>
    <row r="107">
      <c r="A107" s="20"/>
      <c r="B107" s="20"/>
      <c r="C107" s="20"/>
      <c r="D107" s="20"/>
      <c r="E107" s="20"/>
      <c r="F107" s="20"/>
      <c r="G107" s="20"/>
      <c r="H107" s="20"/>
      <c r="I107" s="20"/>
      <c r="J107" s="3"/>
      <c r="K107" s="3"/>
      <c r="L107" s="3"/>
      <c r="M107" s="3"/>
      <c r="N107" s="3"/>
      <c r="O107" s="3"/>
      <c r="P107" s="3"/>
      <c r="Q107" s="3"/>
      <c r="R107" s="3"/>
      <c r="S107" s="3"/>
      <c r="T107" s="3"/>
      <c r="U107" s="3"/>
      <c r="V107" s="3"/>
      <c r="W107" s="3"/>
      <c r="X107" s="3"/>
      <c r="Y107" s="3"/>
      <c r="Z107" s="3"/>
      <c r="AA107" s="3"/>
      <c r="AB107" s="3"/>
    </row>
    <row r="108">
      <c r="A108" s="20"/>
      <c r="B108" s="20"/>
      <c r="C108" s="20"/>
      <c r="D108" s="20"/>
      <c r="E108" s="20"/>
      <c r="F108" s="20"/>
      <c r="G108" s="20"/>
      <c r="H108" s="20"/>
      <c r="I108" s="20"/>
      <c r="J108" s="3"/>
      <c r="K108" s="3"/>
      <c r="L108" s="3"/>
      <c r="M108" s="3"/>
      <c r="N108" s="3"/>
      <c r="O108" s="3"/>
      <c r="P108" s="3"/>
      <c r="Q108" s="3"/>
      <c r="R108" s="3"/>
      <c r="S108" s="3"/>
      <c r="T108" s="3"/>
      <c r="U108" s="3"/>
      <c r="V108" s="3"/>
      <c r="W108" s="3"/>
      <c r="X108" s="3"/>
      <c r="Y108" s="3"/>
      <c r="Z108" s="3"/>
      <c r="AA108" s="3"/>
      <c r="AB108" s="3"/>
    </row>
    <row r="109">
      <c r="A109" s="20"/>
      <c r="B109" s="20"/>
      <c r="C109" s="20"/>
      <c r="D109" s="20"/>
      <c r="E109" s="20"/>
      <c r="F109" s="20"/>
      <c r="G109" s="20"/>
      <c r="H109" s="20"/>
      <c r="I109" s="20"/>
      <c r="J109" s="3"/>
      <c r="K109" s="3"/>
      <c r="L109" s="3"/>
      <c r="M109" s="3"/>
      <c r="N109" s="3"/>
      <c r="O109" s="3"/>
      <c r="P109" s="3"/>
      <c r="Q109" s="3"/>
      <c r="R109" s="3"/>
      <c r="S109" s="3"/>
      <c r="T109" s="3"/>
      <c r="U109" s="3"/>
      <c r="V109" s="3"/>
      <c r="W109" s="3"/>
      <c r="X109" s="3"/>
      <c r="Y109" s="3"/>
      <c r="Z109" s="3"/>
      <c r="AA109" s="3"/>
      <c r="AB109" s="3"/>
    </row>
    <row r="110">
      <c r="A110" s="20"/>
      <c r="B110" s="20"/>
      <c r="C110" s="20"/>
      <c r="D110" s="20"/>
      <c r="E110" s="20"/>
      <c r="F110" s="20"/>
      <c r="G110" s="20"/>
      <c r="H110" s="20"/>
      <c r="I110" s="20"/>
      <c r="J110" s="3"/>
      <c r="K110" s="3"/>
      <c r="L110" s="3"/>
      <c r="M110" s="3"/>
      <c r="N110" s="3"/>
      <c r="O110" s="3"/>
      <c r="P110" s="3"/>
      <c r="Q110" s="3"/>
      <c r="R110" s="3"/>
      <c r="S110" s="3"/>
      <c r="T110" s="3"/>
      <c r="U110" s="3"/>
      <c r="V110" s="3"/>
      <c r="W110" s="3"/>
      <c r="X110" s="3"/>
      <c r="Y110" s="3"/>
      <c r="Z110" s="3"/>
      <c r="AA110" s="3"/>
      <c r="AB110" s="3"/>
    </row>
    <row r="111">
      <c r="A111" s="20"/>
      <c r="B111" s="20"/>
      <c r="C111" s="20"/>
      <c r="D111" s="20"/>
      <c r="E111" s="20"/>
      <c r="F111" s="20"/>
      <c r="G111" s="20"/>
      <c r="H111" s="20"/>
      <c r="I111" s="20"/>
      <c r="J111" s="3"/>
      <c r="K111" s="3"/>
      <c r="L111" s="3"/>
      <c r="M111" s="3"/>
      <c r="N111" s="3"/>
      <c r="O111" s="3"/>
      <c r="P111" s="3"/>
      <c r="Q111" s="3"/>
      <c r="R111" s="3"/>
      <c r="S111" s="3"/>
      <c r="T111" s="3"/>
      <c r="U111" s="3"/>
      <c r="V111" s="3"/>
      <c r="W111" s="3"/>
      <c r="X111" s="3"/>
      <c r="Y111" s="3"/>
      <c r="Z111" s="3"/>
      <c r="AA111" s="3"/>
      <c r="AB111" s="3"/>
    </row>
    <row r="112">
      <c r="A112" s="20"/>
      <c r="B112" s="20"/>
      <c r="C112" s="20"/>
      <c r="D112" s="20"/>
      <c r="E112" s="20"/>
      <c r="F112" s="20"/>
      <c r="G112" s="20"/>
      <c r="H112" s="20"/>
      <c r="I112" s="20"/>
      <c r="J112" s="3"/>
      <c r="K112" s="3"/>
      <c r="L112" s="3"/>
      <c r="M112" s="3"/>
      <c r="N112" s="3"/>
      <c r="O112" s="3"/>
      <c r="P112" s="3"/>
      <c r="Q112" s="3"/>
      <c r="R112" s="3"/>
      <c r="S112" s="3"/>
      <c r="T112" s="3"/>
      <c r="U112" s="3"/>
      <c r="V112" s="3"/>
      <c r="W112" s="3"/>
      <c r="X112" s="3"/>
      <c r="Y112" s="3"/>
      <c r="Z112" s="3"/>
      <c r="AA112" s="3"/>
      <c r="AB112" s="3"/>
    </row>
    <row r="113">
      <c r="A113" s="20"/>
      <c r="B113" s="20"/>
      <c r="C113" s="20"/>
      <c r="D113" s="20"/>
      <c r="E113" s="20"/>
      <c r="F113" s="20"/>
      <c r="G113" s="20"/>
      <c r="H113" s="20"/>
      <c r="I113" s="20"/>
      <c r="J113" s="3"/>
      <c r="K113" s="3"/>
      <c r="L113" s="3"/>
      <c r="M113" s="3"/>
      <c r="N113" s="3"/>
      <c r="O113" s="3"/>
      <c r="P113" s="3"/>
      <c r="Q113" s="3"/>
      <c r="R113" s="3"/>
      <c r="S113" s="3"/>
      <c r="T113" s="3"/>
      <c r="U113" s="3"/>
      <c r="V113" s="3"/>
      <c r="W113" s="3"/>
      <c r="X113" s="3"/>
      <c r="Y113" s="3"/>
      <c r="Z113" s="3"/>
      <c r="AA113" s="3"/>
      <c r="AB113" s="3"/>
    </row>
  </sheetData>
  <mergeCells count="10">
    <mergeCell ref="B13:D13"/>
    <mergeCell ref="B14:B16"/>
    <mergeCell ref="B17:B19"/>
    <mergeCell ref="B1:I1"/>
    <mergeCell ref="B2:I2"/>
    <mergeCell ref="B3:I3"/>
    <mergeCell ref="C4:E4"/>
    <mergeCell ref="F4:I4"/>
    <mergeCell ref="C5:E10"/>
    <mergeCell ref="F5:I10"/>
  </mergeCells>
  <dataValidations>
    <dataValidation type="list" allowBlank="1" showErrorMessage="1" sqref="C14:C19">
      <formula1>"Positive,Negative,UI/UX"</formula1>
    </dataValidation>
    <dataValidation type="list" allowBlank="1" showErrorMessage="1" sqref="G14:G113">
      <formula1>'CMN-ST'!$A$6:$A$8</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830</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831</v>
      </c>
      <c r="C3" s="9"/>
      <c r="D3" s="9"/>
      <c r="E3" s="9"/>
      <c r="F3" s="9"/>
      <c r="G3" s="9"/>
      <c r="H3" s="9"/>
      <c r="I3" s="10"/>
      <c r="J3" s="3"/>
      <c r="K3" s="3"/>
      <c r="L3" s="3"/>
      <c r="M3" s="3"/>
      <c r="N3" s="3"/>
      <c r="O3" s="3"/>
      <c r="P3" s="3"/>
      <c r="Q3" s="3"/>
      <c r="R3" s="3"/>
      <c r="S3" s="3"/>
      <c r="T3" s="3"/>
      <c r="U3" s="3"/>
      <c r="V3" s="3"/>
      <c r="W3" s="3"/>
      <c r="X3" s="3"/>
      <c r="Y3" s="3"/>
      <c r="Z3" s="3"/>
      <c r="AA3" s="3"/>
      <c r="AB3" s="3"/>
    </row>
    <row r="4" ht="30.0" customHeight="1">
      <c r="A4" s="6" t="s">
        <v>2</v>
      </c>
      <c r="B4" s="7">
        <f>COUNTA(D13:D140)</f>
        <v>31</v>
      </c>
      <c r="C4" s="8" t="s">
        <v>10</v>
      </c>
      <c r="D4" s="9"/>
      <c r="E4" s="10"/>
      <c r="F4" s="8" t="s">
        <v>3</v>
      </c>
      <c r="G4" s="9"/>
      <c r="H4" s="9"/>
      <c r="I4" s="10"/>
      <c r="J4" s="3"/>
      <c r="K4" s="3"/>
      <c r="L4" s="3"/>
      <c r="M4" s="3"/>
      <c r="N4" s="3"/>
      <c r="O4" s="3"/>
      <c r="P4" s="3"/>
      <c r="Q4" s="3"/>
      <c r="R4" s="3"/>
      <c r="S4" s="3"/>
      <c r="T4" s="3"/>
      <c r="U4" s="3"/>
      <c r="V4" s="3"/>
      <c r="W4" s="3"/>
      <c r="X4" s="3"/>
      <c r="Y4" s="3"/>
      <c r="Z4" s="3"/>
      <c r="AA4" s="3"/>
      <c r="AB4" s="3"/>
    </row>
    <row r="5" ht="30.0" customHeight="1">
      <c r="A5" s="6" t="s">
        <v>4</v>
      </c>
      <c r="B5" s="7">
        <f>COUNTIFS(D13:D140, "&lt;&gt;", G13:G140, "&lt;&gt;Pending") </f>
        <v>30</v>
      </c>
      <c r="C5" s="11" t="s">
        <v>864</v>
      </c>
      <c r="D5" s="12"/>
      <c r="E5" s="13"/>
      <c r="F5" s="11" t="s">
        <v>865</v>
      </c>
      <c r="G5" s="12"/>
      <c r="H5" s="12"/>
      <c r="I5" s="13"/>
      <c r="J5" s="3"/>
      <c r="K5" s="3"/>
      <c r="L5" s="3"/>
      <c r="M5" s="3"/>
      <c r="N5" s="3"/>
      <c r="O5" s="3"/>
      <c r="P5" s="3"/>
      <c r="Q5" s="3"/>
      <c r="R5" s="3"/>
      <c r="S5" s="3"/>
      <c r="T5" s="3"/>
      <c r="U5" s="3"/>
      <c r="V5" s="3"/>
      <c r="W5" s="3"/>
      <c r="X5" s="3"/>
      <c r="Y5" s="3"/>
      <c r="Z5" s="3"/>
      <c r="AA5" s="3"/>
      <c r="AB5" s="3"/>
    </row>
    <row r="6" ht="30.0" customHeight="1">
      <c r="A6" s="6" t="s">
        <v>6</v>
      </c>
      <c r="B6" s="7">
        <f>B4-B5</f>
        <v>1</v>
      </c>
      <c r="C6" s="14"/>
      <c r="E6" s="15"/>
      <c r="F6" s="14"/>
      <c r="I6" s="15"/>
      <c r="J6" s="3"/>
      <c r="K6" s="3"/>
      <c r="L6" s="3"/>
      <c r="M6" s="3"/>
      <c r="N6" s="3"/>
      <c r="O6" s="3"/>
      <c r="P6" s="3"/>
      <c r="Q6" s="3"/>
      <c r="R6" s="3"/>
      <c r="S6" s="3"/>
      <c r="T6" s="3"/>
      <c r="U6" s="3"/>
      <c r="V6" s="3"/>
      <c r="W6" s="3"/>
      <c r="X6" s="3"/>
      <c r="Y6" s="3"/>
      <c r="Z6" s="3"/>
      <c r="AA6" s="3"/>
      <c r="AB6" s="3"/>
    </row>
    <row r="7" ht="30.0" customHeight="1">
      <c r="A7" s="6" t="s">
        <v>7</v>
      </c>
      <c r="B7" s="7">
        <f t="shared" ref="B7:B8" si="1">COUNTIF($G$13:$G140,A7)</f>
        <v>15</v>
      </c>
      <c r="C7" s="14"/>
      <c r="E7" s="15"/>
      <c r="F7" s="14"/>
      <c r="I7" s="15"/>
      <c r="J7" s="3"/>
      <c r="K7" s="3"/>
      <c r="L7" s="3"/>
      <c r="M7" s="3"/>
      <c r="N7" s="3"/>
      <c r="O7" s="3"/>
      <c r="P7" s="3"/>
      <c r="Q7" s="3"/>
      <c r="R7" s="3"/>
      <c r="S7" s="3"/>
      <c r="T7" s="3"/>
      <c r="U7" s="3"/>
      <c r="V7" s="3"/>
      <c r="W7" s="3"/>
      <c r="X7" s="3"/>
      <c r="Y7" s="3"/>
      <c r="Z7" s="3"/>
      <c r="AA7" s="3"/>
      <c r="AB7" s="3"/>
    </row>
    <row r="8" ht="30.0" customHeight="1">
      <c r="A8" s="6" t="s">
        <v>8</v>
      </c>
      <c r="B8" s="7">
        <f t="shared" si="1"/>
        <v>15</v>
      </c>
      <c r="C8" s="14"/>
      <c r="E8" s="15"/>
      <c r="F8" s="14"/>
      <c r="I8" s="15"/>
      <c r="J8" s="3"/>
      <c r="K8" s="3"/>
      <c r="L8" s="3"/>
      <c r="M8" s="3"/>
      <c r="N8" s="3"/>
      <c r="O8" s="3"/>
      <c r="P8" s="3"/>
      <c r="Q8" s="3"/>
      <c r="R8" s="3"/>
      <c r="S8" s="3"/>
      <c r="T8" s="3"/>
      <c r="U8" s="3"/>
      <c r="V8" s="3"/>
      <c r="W8" s="3"/>
      <c r="X8" s="3"/>
      <c r="Y8" s="3"/>
      <c r="Z8" s="3"/>
      <c r="AA8" s="3"/>
      <c r="AB8" s="3"/>
    </row>
    <row r="9" ht="30.0" customHeight="1">
      <c r="A9" s="6" t="s">
        <v>184</v>
      </c>
      <c r="B9" s="23">
        <f>B7/B4</f>
        <v>0.4838709677</v>
      </c>
      <c r="C9" s="14"/>
      <c r="E9" s="15"/>
      <c r="F9" s="14"/>
      <c r="I9" s="15"/>
      <c r="J9" s="3"/>
      <c r="K9" s="3"/>
      <c r="L9" s="3"/>
      <c r="M9" s="3"/>
      <c r="N9" s="3"/>
      <c r="O9" s="3"/>
      <c r="P9" s="3"/>
      <c r="Q9" s="3"/>
      <c r="R9" s="3"/>
      <c r="S9" s="3"/>
      <c r="T9" s="3"/>
      <c r="U9" s="3"/>
      <c r="V9" s="3"/>
      <c r="W9" s="3"/>
      <c r="X9" s="3"/>
      <c r="Y9" s="3"/>
      <c r="Z9" s="3"/>
      <c r="AA9" s="3"/>
      <c r="AB9" s="3"/>
    </row>
    <row r="10" ht="217.5" customHeight="1">
      <c r="A10" s="6" t="s">
        <v>9</v>
      </c>
      <c r="B10" s="7">
        <f>SUM(H13:H140)</f>
        <v>15</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52" t="s">
        <v>58</v>
      </c>
      <c r="B13" s="53" t="s">
        <v>866</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867</v>
      </c>
      <c r="B14" s="55" t="s">
        <v>868</v>
      </c>
      <c r="C14" s="19" t="s">
        <v>600</v>
      </c>
      <c r="D14" s="19" t="s">
        <v>869</v>
      </c>
      <c r="E14" s="19" t="s">
        <v>870</v>
      </c>
      <c r="F14" s="19" t="s">
        <v>871</v>
      </c>
      <c r="G14" s="19" t="s">
        <v>8</v>
      </c>
      <c r="H14" s="19">
        <v>1.0</v>
      </c>
      <c r="I14" s="55" t="s">
        <v>872</v>
      </c>
      <c r="J14" s="3"/>
      <c r="K14" s="3"/>
      <c r="L14" s="3"/>
      <c r="M14" s="3"/>
      <c r="N14" s="3"/>
      <c r="O14" s="3"/>
      <c r="P14" s="3"/>
      <c r="Q14" s="3"/>
      <c r="R14" s="3"/>
      <c r="S14" s="3"/>
      <c r="T14" s="3"/>
      <c r="U14" s="3"/>
      <c r="V14" s="3"/>
      <c r="W14" s="3"/>
      <c r="X14" s="3"/>
      <c r="Y14" s="3"/>
      <c r="Z14" s="3"/>
      <c r="AA14" s="3"/>
      <c r="AB14" s="3"/>
    </row>
    <row r="15">
      <c r="A15" s="19" t="s">
        <v>873</v>
      </c>
      <c r="B15" s="56"/>
      <c r="C15" s="19" t="s">
        <v>600</v>
      </c>
      <c r="D15" s="19" t="s">
        <v>874</v>
      </c>
      <c r="E15" s="19" t="s">
        <v>875</v>
      </c>
      <c r="F15" s="19" t="s">
        <v>859</v>
      </c>
      <c r="G15" s="19" t="s">
        <v>8</v>
      </c>
      <c r="H15" s="19">
        <v>1.0</v>
      </c>
      <c r="I15" s="56"/>
      <c r="J15" s="3"/>
      <c r="K15" s="3"/>
      <c r="L15" s="3"/>
      <c r="M15" s="3"/>
      <c r="N15" s="3"/>
      <c r="O15" s="3"/>
      <c r="P15" s="3"/>
      <c r="Q15" s="3"/>
      <c r="R15" s="3"/>
      <c r="S15" s="3"/>
      <c r="T15" s="3"/>
      <c r="U15" s="3"/>
      <c r="V15" s="3"/>
      <c r="W15" s="3"/>
      <c r="X15" s="3"/>
      <c r="Y15" s="3"/>
      <c r="Z15" s="3"/>
      <c r="AA15" s="3"/>
      <c r="AB15" s="3"/>
    </row>
    <row r="16">
      <c r="A16" s="19" t="s">
        <v>876</v>
      </c>
      <c r="B16" s="56"/>
      <c r="C16" s="19" t="s">
        <v>600</v>
      </c>
      <c r="D16" s="19" t="s">
        <v>877</v>
      </c>
      <c r="E16" s="19" t="s">
        <v>878</v>
      </c>
      <c r="F16" s="19" t="s">
        <v>859</v>
      </c>
      <c r="G16" s="19" t="s">
        <v>8</v>
      </c>
      <c r="H16" s="19">
        <v>1.0</v>
      </c>
      <c r="I16" s="56"/>
      <c r="J16" s="3"/>
      <c r="K16" s="3"/>
      <c r="L16" s="3"/>
      <c r="M16" s="3"/>
      <c r="N16" s="3"/>
      <c r="O16" s="3"/>
      <c r="P16" s="3"/>
      <c r="Q16" s="3"/>
      <c r="R16" s="3"/>
      <c r="S16" s="3"/>
      <c r="T16" s="3"/>
      <c r="U16" s="3"/>
      <c r="V16" s="3"/>
      <c r="W16" s="3"/>
      <c r="X16" s="3"/>
      <c r="Y16" s="3"/>
      <c r="Z16" s="3"/>
      <c r="AA16" s="3"/>
      <c r="AB16" s="3"/>
    </row>
    <row r="17">
      <c r="A17" s="19" t="s">
        <v>879</v>
      </c>
      <c r="B17" s="57"/>
      <c r="C17" s="19" t="s">
        <v>600</v>
      </c>
      <c r="D17" s="19" t="s">
        <v>880</v>
      </c>
      <c r="E17" s="19" t="s">
        <v>881</v>
      </c>
      <c r="F17" s="19" t="s">
        <v>882</v>
      </c>
      <c r="G17" s="19" t="s">
        <v>8</v>
      </c>
      <c r="H17" s="19">
        <v>1.0</v>
      </c>
      <c r="I17" s="57"/>
      <c r="J17" s="3"/>
      <c r="K17" s="3"/>
      <c r="L17" s="3"/>
      <c r="M17" s="3"/>
      <c r="N17" s="3"/>
      <c r="O17" s="3"/>
      <c r="P17" s="3"/>
      <c r="Q17" s="3"/>
      <c r="R17" s="3"/>
      <c r="S17" s="3"/>
      <c r="T17" s="3"/>
      <c r="U17" s="3"/>
      <c r="V17" s="3"/>
      <c r="W17" s="3"/>
      <c r="X17" s="3"/>
      <c r="Y17" s="3"/>
      <c r="Z17" s="3"/>
      <c r="AA17" s="3"/>
      <c r="AB17" s="3"/>
    </row>
    <row r="18">
      <c r="A18" s="55" t="s">
        <v>883</v>
      </c>
      <c r="B18" s="55" t="s">
        <v>884</v>
      </c>
      <c r="C18" s="55" t="s">
        <v>195</v>
      </c>
      <c r="D18" s="55" t="s">
        <v>885</v>
      </c>
      <c r="E18" s="55" t="s">
        <v>886</v>
      </c>
      <c r="F18" s="55" t="s">
        <v>887</v>
      </c>
      <c r="G18" s="55" t="s">
        <v>7</v>
      </c>
      <c r="H18" s="58"/>
      <c r="I18" s="55"/>
      <c r="J18" s="3"/>
      <c r="K18" s="3"/>
      <c r="L18" s="3"/>
      <c r="M18" s="3"/>
      <c r="N18" s="3"/>
      <c r="O18" s="3"/>
      <c r="P18" s="3"/>
      <c r="Q18" s="3"/>
      <c r="R18" s="3"/>
      <c r="S18" s="3"/>
      <c r="T18" s="3"/>
      <c r="U18" s="3"/>
      <c r="V18" s="3"/>
      <c r="W18" s="3"/>
      <c r="X18" s="3"/>
      <c r="Y18" s="3"/>
      <c r="Z18" s="3"/>
      <c r="AA18" s="3"/>
      <c r="AB18" s="3"/>
    </row>
    <row r="19">
      <c r="A19" s="57"/>
      <c r="B19" s="56"/>
      <c r="C19" s="57"/>
      <c r="D19" s="57"/>
      <c r="E19" s="57"/>
      <c r="F19" s="57"/>
      <c r="G19" s="57"/>
      <c r="H19" s="57"/>
      <c r="I19" s="57"/>
      <c r="J19" s="3"/>
      <c r="K19" s="3"/>
      <c r="L19" s="3"/>
      <c r="M19" s="3"/>
      <c r="N19" s="3"/>
      <c r="O19" s="3"/>
      <c r="P19" s="3"/>
      <c r="Q19" s="3"/>
      <c r="R19" s="3"/>
      <c r="S19" s="3"/>
      <c r="T19" s="3"/>
      <c r="U19" s="3"/>
      <c r="V19" s="3"/>
      <c r="W19" s="3"/>
      <c r="X19" s="3"/>
      <c r="Y19" s="3"/>
      <c r="Z19" s="3"/>
      <c r="AA19" s="3"/>
      <c r="AB19" s="3"/>
    </row>
    <row r="20">
      <c r="A20" s="19" t="s">
        <v>888</v>
      </c>
      <c r="B20" s="56"/>
      <c r="C20" s="19" t="s">
        <v>201</v>
      </c>
      <c r="D20" s="19" t="s">
        <v>889</v>
      </c>
      <c r="E20" s="19" t="s">
        <v>890</v>
      </c>
      <c r="F20" s="19" t="s">
        <v>891</v>
      </c>
      <c r="G20" s="19" t="s">
        <v>7</v>
      </c>
      <c r="H20" s="20"/>
      <c r="I20" s="20"/>
      <c r="J20" s="3"/>
      <c r="K20" s="3"/>
      <c r="L20" s="3"/>
      <c r="M20" s="3"/>
      <c r="N20" s="3"/>
      <c r="O20" s="3"/>
      <c r="P20" s="3"/>
      <c r="Q20" s="3"/>
      <c r="R20" s="3"/>
      <c r="S20" s="3"/>
      <c r="T20" s="3"/>
      <c r="U20" s="3"/>
      <c r="V20" s="3"/>
      <c r="W20" s="3"/>
      <c r="X20" s="3"/>
      <c r="Y20" s="3"/>
      <c r="Z20" s="3"/>
      <c r="AA20" s="3"/>
      <c r="AB20" s="3"/>
    </row>
    <row r="21">
      <c r="A21" s="19" t="s">
        <v>892</v>
      </c>
      <c r="B21" s="56"/>
      <c r="C21" s="19" t="s">
        <v>195</v>
      </c>
      <c r="D21" s="19" t="s">
        <v>893</v>
      </c>
      <c r="E21" s="19" t="s">
        <v>894</v>
      </c>
      <c r="F21" s="19" t="s">
        <v>887</v>
      </c>
      <c r="G21" s="19" t="s">
        <v>7</v>
      </c>
      <c r="H21" s="20"/>
      <c r="I21" s="20"/>
      <c r="J21" s="3"/>
      <c r="K21" s="3"/>
      <c r="L21" s="3"/>
      <c r="M21" s="3"/>
      <c r="N21" s="3"/>
      <c r="O21" s="3"/>
      <c r="P21" s="3"/>
      <c r="Q21" s="3"/>
      <c r="R21" s="3"/>
      <c r="S21" s="3"/>
      <c r="T21" s="3"/>
      <c r="U21" s="3"/>
      <c r="V21" s="3"/>
      <c r="W21" s="3"/>
      <c r="X21" s="3"/>
      <c r="Y21" s="3"/>
      <c r="Z21" s="3"/>
      <c r="AA21" s="3"/>
      <c r="AB21" s="3"/>
    </row>
    <row r="22">
      <c r="A22" s="19" t="s">
        <v>895</v>
      </c>
      <c r="B22" s="56"/>
      <c r="C22" s="19" t="s">
        <v>195</v>
      </c>
      <c r="D22" s="19" t="s">
        <v>896</v>
      </c>
      <c r="E22" s="19" t="s">
        <v>897</v>
      </c>
      <c r="F22" s="19" t="s">
        <v>898</v>
      </c>
      <c r="G22" s="19" t="s">
        <v>7</v>
      </c>
      <c r="H22" s="20"/>
      <c r="I22" s="20"/>
      <c r="J22" s="3"/>
      <c r="K22" s="3"/>
      <c r="L22" s="3"/>
      <c r="M22" s="3"/>
      <c r="N22" s="3"/>
      <c r="O22" s="3"/>
      <c r="P22" s="3"/>
      <c r="Q22" s="3"/>
      <c r="R22" s="3"/>
      <c r="S22" s="3"/>
      <c r="T22" s="3"/>
      <c r="U22" s="3"/>
      <c r="V22" s="3"/>
      <c r="W22" s="3"/>
      <c r="X22" s="3"/>
      <c r="Y22" s="3"/>
      <c r="Z22" s="3"/>
      <c r="AA22" s="3"/>
      <c r="AB22" s="3"/>
    </row>
    <row r="23">
      <c r="A23" s="19" t="s">
        <v>899</v>
      </c>
      <c r="B23" s="56"/>
      <c r="C23" s="19" t="s">
        <v>195</v>
      </c>
      <c r="D23" s="19" t="s">
        <v>900</v>
      </c>
      <c r="E23" s="19" t="s">
        <v>901</v>
      </c>
      <c r="F23" s="19" t="s">
        <v>891</v>
      </c>
      <c r="G23" s="19" t="s">
        <v>7</v>
      </c>
      <c r="H23" s="20"/>
      <c r="I23" s="20"/>
      <c r="J23" s="3"/>
      <c r="K23" s="3"/>
      <c r="L23" s="3"/>
      <c r="M23" s="3"/>
      <c r="N23" s="3"/>
      <c r="O23" s="3"/>
      <c r="P23" s="3"/>
      <c r="Q23" s="3"/>
      <c r="R23" s="3"/>
      <c r="S23" s="3"/>
      <c r="T23" s="3"/>
      <c r="U23" s="3"/>
      <c r="V23" s="3"/>
      <c r="W23" s="3"/>
      <c r="X23" s="3"/>
      <c r="Y23" s="3"/>
      <c r="Z23" s="3"/>
      <c r="AA23" s="3"/>
      <c r="AB23" s="3"/>
    </row>
    <row r="24">
      <c r="A24" s="19" t="s">
        <v>902</v>
      </c>
      <c r="B24" s="56"/>
      <c r="C24" s="19" t="s">
        <v>195</v>
      </c>
      <c r="D24" s="19" t="s">
        <v>903</v>
      </c>
      <c r="E24" s="19" t="s">
        <v>904</v>
      </c>
      <c r="F24" s="19" t="s">
        <v>905</v>
      </c>
      <c r="G24" s="19" t="s">
        <v>7</v>
      </c>
      <c r="H24" s="20"/>
      <c r="I24" s="20"/>
      <c r="J24" s="3"/>
      <c r="K24" s="3"/>
      <c r="L24" s="3"/>
      <c r="M24" s="3"/>
      <c r="N24" s="3"/>
      <c r="O24" s="3"/>
      <c r="P24" s="3"/>
      <c r="Q24" s="3"/>
      <c r="R24" s="3"/>
      <c r="S24" s="3"/>
      <c r="T24" s="3"/>
      <c r="U24" s="3"/>
      <c r="V24" s="3"/>
      <c r="W24" s="3"/>
      <c r="X24" s="3"/>
      <c r="Y24" s="3"/>
      <c r="Z24" s="3"/>
      <c r="AA24" s="3"/>
      <c r="AB24" s="3"/>
    </row>
    <row r="25">
      <c r="A25" s="19" t="s">
        <v>906</v>
      </c>
      <c r="B25" s="56"/>
      <c r="C25" s="19" t="s">
        <v>195</v>
      </c>
      <c r="D25" s="19" t="s">
        <v>907</v>
      </c>
      <c r="E25" s="19" t="s">
        <v>908</v>
      </c>
      <c r="F25" s="19" t="s">
        <v>859</v>
      </c>
      <c r="G25" s="19" t="s">
        <v>7</v>
      </c>
      <c r="H25" s="20"/>
      <c r="I25" s="19"/>
      <c r="J25" s="3"/>
      <c r="K25" s="3"/>
      <c r="L25" s="3"/>
      <c r="M25" s="3"/>
      <c r="N25" s="3"/>
      <c r="O25" s="3"/>
      <c r="P25" s="3"/>
      <c r="Q25" s="3"/>
      <c r="R25" s="3"/>
      <c r="S25" s="3"/>
      <c r="T25" s="3"/>
      <c r="U25" s="3"/>
      <c r="V25" s="3"/>
      <c r="W25" s="3"/>
      <c r="X25" s="3"/>
      <c r="Y25" s="3"/>
      <c r="Z25" s="3"/>
      <c r="AA25" s="3"/>
      <c r="AB25" s="3"/>
    </row>
    <row r="26">
      <c r="A26" s="19" t="s">
        <v>909</v>
      </c>
      <c r="B26" s="56"/>
      <c r="C26" s="19" t="s">
        <v>201</v>
      </c>
      <c r="D26" s="19" t="s">
        <v>910</v>
      </c>
      <c r="E26" s="19" t="s">
        <v>911</v>
      </c>
      <c r="F26" s="19" t="s">
        <v>912</v>
      </c>
      <c r="G26" s="19" t="s">
        <v>7</v>
      </c>
      <c r="H26" s="20"/>
      <c r="I26" s="20"/>
      <c r="J26" s="3"/>
      <c r="K26" s="3"/>
      <c r="L26" s="3"/>
      <c r="M26" s="3"/>
      <c r="N26" s="3"/>
      <c r="O26" s="3"/>
      <c r="P26" s="3"/>
      <c r="Q26" s="3"/>
      <c r="R26" s="3"/>
      <c r="S26" s="3"/>
      <c r="T26" s="3"/>
      <c r="U26" s="3"/>
      <c r="V26" s="3"/>
      <c r="W26" s="3"/>
      <c r="X26" s="3"/>
      <c r="Y26" s="3"/>
      <c r="Z26" s="3"/>
      <c r="AA26" s="3"/>
      <c r="AB26" s="3"/>
    </row>
    <row r="27">
      <c r="A27" s="19" t="s">
        <v>913</v>
      </c>
      <c r="B27" s="57"/>
      <c r="C27" s="19" t="s">
        <v>195</v>
      </c>
      <c r="D27" s="19" t="s">
        <v>914</v>
      </c>
      <c r="E27" s="19" t="s">
        <v>915</v>
      </c>
      <c r="F27" s="19" t="s">
        <v>916</v>
      </c>
      <c r="G27" s="19" t="s">
        <v>6</v>
      </c>
      <c r="H27" s="20"/>
      <c r="I27" s="19" t="s">
        <v>917</v>
      </c>
      <c r="J27" s="3"/>
      <c r="K27" s="3"/>
      <c r="L27" s="3"/>
      <c r="M27" s="3"/>
      <c r="N27" s="3"/>
      <c r="O27" s="3"/>
      <c r="P27" s="3"/>
      <c r="Q27" s="3"/>
      <c r="R27" s="3"/>
      <c r="S27" s="3"/>
      <c r="T27" s="3"/>
      <c r="U27" s="3"/>
      <c r="V27" s="3"/>
      <c r="W27" s="3"/>
      <c r="X27" s="3"/>
      <c r="Y27" s="3"/>
      <c r="Z27" s="3"/>
      <c r="AA27" s="3"/>
      <c r="AB27" s="3"/>
    </row>
    <row r="28">
      <c r="A28" s="19" t="s">
        <v>918</v>
      </c>
      <c r="B28" s="55" t="s">
        <v>919</v>
      </c>
      <c r="C28" s="19" t="s">
        <v>600</v>
      </c>
      <c r="D28" s="19" t="s">
        <v>920</v>
      </c>
      <c r="E28" s="19" t="s">
        <v>921</v>
      </c>
      <c r="F28" s="19" t="s">
        <v>922</v>
      </c>
      <c r="G28" s="19" t="s">
        <v>8</v>
      </c>
      <c r="H28" s="19">
        <v>1.0</v>
      </c>
      <c r="I28" s="19" t="s">
        <v>923</v>
      </c>
      <c r="J28" s="3"/>
      <c r="K28" s="3"/>
      <c r="L28" s="3"/>
      <c r="M28" s="3"/>
      <c r="N28" s="3"/>
      <c r="O28" s="3"/>
      <c r="P28" s="3"/>
      <c r="Q28" s="3"/>
      <c r="R28" s="3"/>
      <c r="S28" s="3"/>
      <c r="T28" s="3"/>
      <c r="U28" s="3"/>
      <c r="V28" s="3"/>
      <c r="W28" s="3"/>
      <c r="X28" s="3"/>
      <c r="Y28" s="3"/>
      <c r="Z28" s="3"/>
      <c r="AA28" s="3"/>
      <c r="AB28" s="3"/>
    </row>
    <row r="29">
      <c r="A29" s="19" t="s">
        <v>924</v>
      </c>
      <c r="B29" s="56"/>
      <c r="C29" s="19" t="s">
        <v>600</v>
      </c>
      <c r="D29" s="19" t="s">
        <v>925</v>
      </c>
      <c r="E29" s="19" t="s">
        <v>926</v>
      </c>
      <c r="F29" s="19" t="s">
        <v>859</v>
      </c>
      <c r="G29" s="19" t="s">
        <v>8</v>
      </c>
      <c r="H29" s="19">
        <v>1.0</v>
      </c>
      <c r="I29" s="19" t="s">
        <v>927</v>
      </c>
      <c r="J29" s="3"/>
      <c r="K29" s="3"/>
      <c r="L29" s="3"/>
      <c r="M29" s="3"/>
      <c r="N29" s="3"/>
      <c r="O29" s="3"/>
      <c r="P29" s="3"/>
      <c r="Q29" s="3"/>
      <c r="R29" s="3"/>
      <c r="S29" s="3"/>
      <c r="T29" s="3"/>
      <c r="U29" s="3"/>
      <c r="V29" s="3"/>
      <c r="W29" s="3"/>
      <c r="X29" s="3"/>
      <c r="Y29" s="3"/>
      <c r="Z29" s="3"/>
      <c r="AA29" s="3"/>
      <c r="AB29" s="3"/>
    </row>
    <row r="30">
      <c r="A30" s="55" t="s">
        <v>928</v>
      </c>
      <c r="B30" s="56"/>
      <c r="C30" s="19" t="s">
        <v>195</v>
      </c>
      <c r="D30" s="55" t="s">
        <v>929</v>
      </c>
      <c r="E30" s="55" t="s">
        <v>930</v>
      </c>
      <c r="F30" s="55" t="s">
        <v>891</v>
      </c>
      <c r="G30" s="55" t="s">
        <v>7</v>
      </c>
      <c r="H30" s="58"/>
      <c r="I30" s="58"/>
      <c r="J30" s="3"/>
      <c r="K30" s="3"/>
      <c r="L30" s="3"/>
      <c r="M30" s="3"/>
      <c r="N30" s="3"/>
      <c r="O30" s="3"/>
      <c r="P30" s="3"/>
      <c r="Q30" s="3"/>
      <c r="R30" s="3"/>
      <c r="S30" s="3"/>
      <c r="T30" s="3"/>
      <c r="U30" s="3"/>
      <c r="V30" s="3"/>
      <c r="W30" s="3"/>
      <c r="X30" s="3"/>
      <c r="Y30" s="3"/>
      <c r="Z30" s="3"/>
      <c r="AA30" s="3"/>
      <c r="AB30" s="3"/>
    </row>
    <row r="31" ht="29.25" customHeight="1">
      <c r="A31" s="57"/>
      <c r="B31" s="57"/>
      <c r="C31" s="19" t="s">
        <v>195</v>
      </c>
      <c r="D31" s="57"/>
      <c r="E31" s="57"/>
      <c r="F31" s="57"/>
      <c r="G31" s="57"/>
      <c r="H31" s="57"/>
      <c r="I31" s="57"/>
      <c r="J31" s="3"/>
      <c r="K31" s="3"/>
      <c r="L31" s="3"/>
      <c r="M31" s="3"/>
      <c r="N31" s="3"/>
      <c r="O31" s="3"/>
      <c r="P31" s="3"/>
      <c r="Q31" s="3"/>
      <c r="R31" s="3"/>
      <c r="S31" s="3"/>
      <c r="T31" s="3"/>
      <c r="U31" s="3"/>
      <c r="V31" s="3"/>
      <c r="W31" s="3"/>
      <c r="X31" s="3"/>
      <c r="Y31" s="3"/>
      <c r="Z31" s="3"/>
      <c r="AA31" s="3"/>
      <c r="AB31" s="3"/>
    </row>
    <row r="32">
      <c r="A32" s="19" t="s">
        <v>931</v>
      </c>
      <c r="B32" s="55" t="s">
        <v>932</v>
      </c>
      <c r="C32" s="19" t="s">
        <v>600</v>
      </c>
      <c r="D32" s="19" t="s">
        <v>933</v>
      </c>
      <c r="E32" s="19" t="s">
        <v>934</v>
      </c>
      <c r="F32" s="19" t="s">
        <v>922</v>
      </c>
      <c r="G32" s="19" t="s">
        <v>8</v>
      </c>
      <c r="H32" s="19">
        <v>1.0</v>
      </c>
      <c r="I32" s="19" t="s">
        <v>935</v>
      </c>
      <c r="J32" s="3"/>
      <c r="K32" s="3"/>
      <c r="L32" s="3"/>
      <c r="M32" s="3"/>
      <c r="N32" s="3"/>
      <c r="O32" s="3"/>
      <c r="P32" s="3"/>
      <c r="Q32" s="3"/>
      <c r="R32" s="3"/>
      <c r="S32" s="3"/>
      <c r="T32" s="3"/>
      <c r="U32" s="3"/>
      <c r="V32" s="3"/>
      <c r="W32" s="3"/>
      <c r="X32" s="3"/>
      <c r="Y32" s="3"/>
      <c r="Z32" s="3"/>
      <c r="AA32" s="3"/>
      <c r="AB32" s="3"/>
    </row>
    <row r="33">
      <c r="A33" s="19" t="s">
        <v>936</v>
      </c>
      <c r="B33" s="56"/>
      <c r="C33" s="19" t="s">
        <v>195</v>
      </c>
      <c r="D33" s="19" t="s">
        <v>937</v>
      </c>
      <c r="E33" s="19" t="s">
        <v>938</v>
      </c>
      <c r="F33" s="19" t="s">
        <v>859</v>
      </c>
      <c r="G33" s="19" t="s">
        <v>7</v>
      </c>
      <c r="H33" s="20"/>
      <c r="I33" s="20"/>
      <c r="J33" s="3"/>
      <c r="K33" s="3"/>
      <c r="L33" s="3"/>
      <c r="M33" s="3"/>
      <c r="N33" s="3"/>
      <c r="O33" s="3"/>
      <c r="P33" s="3"/>
      <c r="Q33" s="3"/>
      <c r="R33" s="3"/>
      <c r="S33" s="3"/>
      <c r="T33" s="3"/>
      <c r="U33" s="3"/>
      <c r="V33" s="3"/>
      <c r="W33" s="3"/>
      <c r="X33" s="3"/>
      <c r="Y33" s="3"/>
      <c r="Z33" s="3"/>
      <c r="AA33" s="3"/>
      <c r="AB33" s="3"/>
    </row>
    <row r="34">
      <c r="A34" s="19" t="s">
        <v>939</v>
      </c>
      <c r="B34" s="56"/>
      <c r="C34" s="19" t="s">
        <v>195</v>
      </c>
      <c r="D34" s="19" t="s">
        <v>940</v>
      </c>
      <c r="E34" s="19" t="s">
        <v>941</v>
      </c>
      <c r="F34" s="19" t="s">
        <v>859</v>
      </c>
      <c r="G34" s="19" t="s">
        <v>8</v>
      </c>
      <c r="H34" s="19">
        <v>1.0</v>
      </c>
      <c r="I34" s="55" t="s">
        <v>942</v>
      </c>
      <c r="J34" s="3"/>
      <c r="K34" s="3"/>
      <c r="L34" s="3"/>
      <c r="M34" s="3"/>
      <c r="N34" s="3"/>
      <c r="O34" s="3"/>
      <c r="P34" s="3"/>
      <c r="Q34" s="3"/>
      <c r="R34" s="3"/>
      <c r="S34" s="3"/>
      <c r="T34" s="3"/>
      <c r="U34" s="3"/>
      <c r="V34" s="3"/>
      <c r="W34" s="3"/>
      <c r="X34" s="3"/>
      <c r="Y34" s="3"/>
      <c r="Z34" s="3"/>
      <c r="AA34" s="3"/>
      <c r="AB34" s="3"/>
    </row>
    <row r="35">
      <c r="A35" s="19" t="s">
        <v>943</v>
      </c>
      <c r="B35" s="57"/>
      <c r="C35" s="19" t="s">
        <v>195</v>
      </c>
      <c r="D35" s="19" t="s">
        <v>944</v>
      </c>
      <c r="E35" s="19" t="s">
        <v>945</v>
      </c>
      <c r="F35" s="19" t="s">
        <v>859</v>
      </c>
      <c r="G35" s="19" t="s">
        <v>8</v>
      </c>
      <c r="H35" s="19">
        <v>1.0</v>
      </c>
      <c r="I35" s="57"/>
      <c r="J35" s="3"/>
      <c r="K35" s="3"/>
      <c r="L35" s="3"/>
      <c r="M35" s="3"/>
      <c r="N35" s="3"/>
      <c r="O35" s="3"/>
      <c r="P35" s="3"/>
      <c r="Q35" s="3"/>
      <c r="R35" s="3"/>
      <c r="S35" s="3"/>
      <c r="T35" s="3"/>
      <c r="U35" s="3"/>
      <c r="V35" s="3"/>
      <c r="W35" s="3"/>
      <c r="X35" s="3"/>
      <c r="Y35" s="3"/>
      <c r="Z35" s="3"/>
      <c r="AA35" s="3"/>
      <c r="AB35" s="3"/>
    </row>
    <row r="36">
      <c r="A36" s="19" t="s">
        <v>946</v>
      </c>
      <c r="B36" s="55" t="s">
        <v>947</v>
      </c>
      <c r="C36" s="19" t="s">
        <v>195</v>
      </c>
      <c r="D36" s="19" t="s">
        <v>948</v>
      </c>
      <c r="E36" s="19" t="s">
        <v>949</v>
      </c>
      <c r="F36" s="19" t="s">
        <v>950</v>
      </c>
      <c r="G36" s="19" t="s">
        <v>7</v>
      </c>
      <c r="H36" s="20"/>
      <c r="I36" s="19"/>
      <c r="J36" s="3"/>
      <c r="K36" s="3"/>
      <c r="L36" s="3"/>
      <c r="M36" s="3"/>
      <c r="N36" s="3"/>
      <c r="O36" s="3"/>
      <c r="P36" s="3"/>
      <c r="Q36" s="3"/>
      <c r="R36" s="3"/>
      <c r="S36" s="3"/>
      <c r="T36" s="3"/>
      <c r="U36" s="3"/>
      <c r="V36" s="3"/>
      <c r="W36" s="3"/>
      <c r="X36" s="3"/>
      <c r="Y36" s="3"/>
      <c r="Z36" s="3"/>
      <c r="AA36" s="3"/>
      <c r="AB36" s="3"/>
    </row>
    <row r="37">
      <c r="A37" s="19" t="s">
        <v>951</v>
      </c>
      <c r="B37" s="56"/>
      <c r="C37" s="19" t="s">
        <v>195</v>
      </c>
      <c r="D37" s="19" t="s">
        <v>952</v>
      </c>
      <c r="E37" s="19" t="s">
        <v>953</v>
      </c>
      <c r="F37" s="19" t="s">
        <v>954</v>
      </c>
      <c r="G37" s="19" t="s">
        <v>8</v>
      </c>
      <c r="H37" s="19">
        <v>1.0</v>
      </c>
      <c r="I37" s="19" t="s">
        <v>955</v>
      </c>
      <c r="J37" s="3"/>
      <c r="K37" s="3"/>
      <c r="L37" s="3"/>
      <c r="M37" s="3"/>
      <c r="N37" s="3"/>
      <c r="O37" s="3"/>
      <c r="P37" s="3"/>
      <c r="Q37" s="3"/>
      <c r="R37" s="3"/>
      <c r="S37" s="3"/>
      <c r="T37" s="3"/>
      <c r="U37" s="3"/>
      <c r="V37" s="3"/>
      <c r="W37" s="3"/>
      <c r="X37" s="3"/>
      <c r="Y37" s="3"/>
      <c r="Z37" s="3"/>
      <c r="AA37" s="3"/>
      <c r="AB37" s="3"/>
    </row>
    <row r="38">
      <c r="A38" s="19" t="s">
        <v>956</v>
      </c>
      <c r="B38" s="56"/>
      <c r="C38" s="19" t="s">
        <v>195</v>
      </c>
      <c r="D38" s="19" t="s">
        <v>957</v>
      </c>
      <c r="E38" s="19" t="s">
        <v>958</v>
      </c>
      <c r="F38" s="19" t="s">
        <v>959</v>
      </c>
      <c r="G38" s="19" t="s">
        <v>7</v>
      </c>
      <c r="H38" s="20"/>
      <c r="I38" s="20"/>
      <c r="J38" s="3"/>
      <c r="K38" s="3"/>
      <c r="L38" s="3"/>
      <c r="M38" s="3"/>
      <c r="N38" s="3"/>
      <c r="O38" s="3"/>
      <c r="P38" s="3"/>
      <c r="Q38" s="3"/>
      <c r="R38" s="3"/>
      <c r="S38" s="3"/>
      <c r="T38" s="3"/>
      <c r="U38" s="3"/>
      <c r="V38" s="3"/>
      <c r="W38" s="3"/>
      <c r="X38" s="3"/>
      <c r="Y38" s="3"/>
      <c r="Z38" s="3"/>
      <c r="AA38" s="3"/>
      <c r="AB38" s="3"/>
    </row>
    <row r="39">
      <c r="A39" s="19" t="s">
        <v>960</v>
      </c>
      <c r="B39" s="57"/>
      <c r="C39" s="19" t="s">
        <v>195</v>
      </c>
      <c r="D39" s="19" t="s">
        <v>961</v>
      </c>
      <c r="E39" s="19" t="s">
        <v>962</v>
      </c>
      <c r="F39" s="19" t="s">
        <v>963</v>
      </c>
      <c r="G39" s="19" t="s">
        <v>7</v>
      </c>
      <c r="H39" s="20"/>
      <c r="I39" s="20"/>
      <c r="J39" s="3"/>
      <c r="K39" s="3"/>
      <c r="L39" s="3"/>
      <c r="M39" s="3"/>
      <c r="N39" s="3"/>
      <c r="O39" s="3"/>
      <c r="P39" s="3"/>
      <c r="Q39" s="3"/>
      <c r="R39" s="3"/>
      <c r="S39" s="3"/>
      <c r="T39" s="3"/>
      <c r="U39" s="3"/>
      <c r="V39" s="3"/>
      <c r="W39" s="3"/>
      <c r="X39" s="3"/>
      <c r="Y39" s="3"/>
      <c r="Z39" s="3"/>
      <c r="AA39" s="3"/>
      <c r="AB39" s="3"/>
    </row>
    <row r="40">
      <c r="A40" s="19" t="s">
        <v>964</v>
      </c>
      <c r="B40" s="55" t="s">
        <v>965</v>
      </c>
      <c r="C40" s="19" t="s">
        <v>600</v>
      </c>
      <c r="D40" s="19" t="s">
        <v>966</v>
      </c>
      <c r="E40" s="19" t="s">
        <v>967</v>
      </c>
      <c r="F40" s="19" t="s">
        <v>950</v>
      </c>
      <c r="G40" s="19" t="s">
        <v>8</v>
      </c>
      <c r="H40" s="19">
        <v>1.0</v>
      </c>
      <c r="I40" s="19" t="s">
        <v>968</v>
      </c>
      <c r="J40" s="3"/>
      <c r="K40" s="3"/>
      <c r="L40" s="3"/>
      <c r="M40" s="3"/>
      <c r="N40" s="3"/>
      <c r="O40" s="3"/>
      <c r="P40" s="3"/>
      <c r="Q40" s="3"/>
      <c r="R40" s="3"/>
      <c r="S40" s="3"/>
      <c r="T40" s="3"/>
      <c r="U40" s="3"/>
      <c r="V40" s="3"/>
      <c r="W40" s="3"/>
      <c r="X40" s="3"/>
      <c r="Y40" s="3"/>
      <c r="Z40" s="3"/>
      <c r="AA40" s="3"/>
      <c r="AB40" s="3"/>
    </row>
    <row r="41">
      <c r="A41" s="19" t="s">
        <v>969</v>
      </c>
      <c r="B41" s="56"/>
      <c r="C41" s="19" t="s">
        <v>600</v>
      </c>
      <c r="D41" s="19" t="s">
        <v>970</v>
      </c>
      <c r="E41" s="19" t="s">
        <v>971</v>
      </c>
      <c r="F41" s="19" t="s">
        <v>859</v>
      </c>
      <c r="G41" s="19" t="s">
        <v>8</v>
      </c>
      <c r="H41" s="19">
        <v>1.0</v>
      </c>
      <c r="I41" s="19" t="s">
        <v>972</v>
      </c>
      <c r="J41" s="3"/>
      <c r="K41" s="3"/>
      <c r="L41" s="3"/>
      <c r="M41" s="3"/>
      <c r="N41" s="3"/>
      <c r="O41" s="3"/>
      <c r="P41" s="3"/>
      <c r="Q41" s="3"/>
      <c r="R41" s="3"/>
      <c r="S41" s="3"/>
      <c r="T41" s="3"/>
      <c r="U41" s="3"/>
      <c r="V41" s="3"/>
      <c r="W41" s="3"/>
      <c r="X41" s="3"/>
      <c r="Y41" s="3"/>
      <c r="Z41" s="3"/>
      <c r="AA41" s="3"/>
      <c r="AB41" s="3"/>
    </row>
    <row r="42">
      <c r="A42" s="19" t="s">
        <v>973</v>
      </c>
      <c r="B42" s="56"/>
      <c r="C42" s="19" t="s">
        <v>600</v>
      </c>
      <c r="D42" s="19" t="s">
        <v>974</v>
      </c>
      <c r="E42" s="19" t="s">
        <v>975</v>
      </c>
      <c r="F42" s="19" t="s">
        <v>859</v>
      </c>
      <c r="G42" s="19" t="s">
        <v>8</v>
      </c>
      <c r="H42" s="19">
        <v>1.0</v>
      </c>
      <c r="I42" s="19" t="s">
        <v>976</v>
      </c>
      <c r="J42" s="3"/>
      <c r="K42" s="3"/>
      <c r="L42" s="3"/>
      <c r="M42" s="3"/>
      <c r="N42" s="3"/>
      <c r="O42" s="3"/>
      <c r="P42" s="3"/>
      <c r="Q42" s="3"/>
      <c r="R42" s="3"/>
      <c r="S42" s="3"/>
      <c r="T42" s="3"/>
      <c r="U42" s="3"/>
      <c r="V42" s="3"/>
      <c r="W42" s="3"/>
      <c r="X42" s="3"/>
      <c r="Y42" s="3"/>
      <c r="Z42" s="3"/>
      <c r="AA42" s="3"/>
      <c r="AB42" s="3"/>
    </row>
    <row r="43">
      <c r="A43" s="19" t="s">
        <v>977</v>
      </c>
      <c r="B43" s="56"/>
      <c r="C43" s="19" t="s">
        <v>600</v>
      </c>
      <c r="D43" s="19" t="s">
        <v>978</v>
      </c>
      <c r="E43" s="19" t="s">
        <v>979</v>
      </c>
      <c r="F43" s="19" t="s">
        <v>859</v>
      </c>
      <c r="G43" s="19" t="s">
        <v>7</v>
      </c>
      <c r="H43" s="20"/>
      <c r="I43" s="20"/>
      <c r="J43" s="3"/>
      <c r="K43" s="3"/>
      <c r="L43" s="3"/>
      <c r="M43" s="3"/>
      <c r="N43" s="3"/>
      <c r="O43" s="3"/>
      <c r="P43" s="3"/>
      <c r="Q43" s="3"/>
      <c r="R43" s="3"/>
      <c r="S43" s="3"/>
      <c r="T43" s="3"/>
      <c r="U43" s="3"/>
      <c r="V43" s="3"/>
      <c r="W43" s="3"/>
      <c r="X43" s="3"/>
      <c r="Y43" s="3"/>
      <c r="Z43" s="3"/>
      <c r="AA43" s="3"/>
      <c r="AB43" s="3"/>
    </row>
    <row r="44">
      <c r="A44" s="19" t="s">
        <v>980</v>
      </c>
      <c r="B44" s="56"/>
      <c r="C44" s="19" t="s">
        <v>600</v>
      </c>
      <c r="D44" s="19" t="s">
        <v>981</v>
      </c>
      <c r="E44" s="19" t="s">
        <v>982</v>
      </c>
      <c r="F44" s="19" t="s">
        <v>950</v>
      </c>
      <c r="G44" s="19" t="s">
        <v>7</v>
      </c>
      <c r="H44" s="20"/>
      <c r="I44" s="20"/>
      <c r="J44" s="3"/>
      <c r="K44" s="3"/>
      <c r="L44" s="3"/>
      <c r="M44" s="3"/>
      <c r="N44" s="3"/>
      <c r="O44" s="3"/>
      <c r="P44" s="3"/>
      <c r="Q44" s="3"/>
      <c r="R44" s="3"/>
      <c r="S44" s="3"/>
      <c r="T44" s="3"/>
      <c r="U44" s="3"/>
      <c r="V44" s="3"/>
      <c r="W44" s="3"/>
      <c r="X44" s="3"/>
      <c r="Y44" s="3"/>
      <c r="Z44" s="3"/>
      <c r="AA44" s="3"/>
      <c r="AB44" s="3"/>
    </row>
    <row r="45">
      <c r="A45" s="19" t="s">
        <v>983</v>
      </c>
      <c r="B45" s="56"/>
      <c r="C45" s="19" t="s">
        <v>600</v>
      </c>
      <c r="D45" s="19" t="s">
        <v>984</v>
      </c>
      <c r="E45" s="19" t="s">
        <v>985</v>
      </c>
      <c r="F45" s="19" t="s">
        <v>986</v>
      </c>
      <c r="G45" s="19" t="s">
        <v>8</v>
      </c>
      <c r="H45" s="19">
        <v>1.0</v>
      </c>
      <c r="I45" s="19" t="s">
        <v>987</v>
      </c>
      <c r="J45" s="3"/>
      <c r="K45" s="3"/>
      <c r="L45" s="3"/>
      <c r="M45" s="3"/>
      <c r="N45" s="3"/>
      <c r="O45" s="3"/>
      <c r="P45" s="3"/>
      <c r="Q45" s="3"/>
      <c r="R45" s="3"/>
      <c r="S45" s="3"/>
      <c r="T45" s="3"/>
      <c r="U45" s="3"/>
      <c r="V45" s="3"/>
      <c r="W45" s="3"/>
      <c r="X45" s="3"/>
      <c r="Y45" s="3"/>
      <c r="Z45" s="3"/>
      <c r="AA45" s="3"/>
      <c r="AB45" s="3"/>
    </row>
    <row r="46">
      <c r="A46" s="19" t="s">
        <v>988</v>
      </c>
      <c r="B46" s="57"/>
      <c r="C46" s="19" t="s">
        <v>600</v>
      </c>
      <c r="D46" s="19" t="s">
        <v>989</v>
      </c>
      <c r="E46" s="19" t="s">
        <v>990</v>
      </c>
      <c r="F46" s="19" t="s">
        <v>991</v>
      </c>
      <c r="G46" s="19" t="s">
        <v>8</v>
      </c>
      <c r="H46" s="19">
        <v>1.0</v>
      </c>
      <c r="I46" s="19" t="s">
        <v>992</v>
      </c>
      <c r="J46" s="3"/>
      <c r="K46" s="3"/>
      <c r="L46" s="3"/>
      <c r="M46" s="3"/>
      <c r="N46" s="3"/>
      <c r="O46" s="3"/>
      <c r="P46" s="3"/>
      <c r="Q46" s="3"/>
      <c r="R46" s="3"/>
      <c r="S46" s="3"/>
      <c r="T46" s="3"/>
      <c r="U46" s="3"/>
      <c r="V46" s="3"/>
      <c r="W46" s="3"/>
      <c r="X46" s="3"/>
      <c r="Y46" s="3"/>
      <c r="Z46" s="3"/>
      <c r="AA46" s="3"/>
      <c r="AB46" s="3"/>
    </row>
    <row r="47">
      <c r="A47" s="20"/>
      <c r="B47" s="20"/>
      <c r="C47" s="20"/>
      <c r="D47" s="20"/>
      <c r="E47" s="20"/>
      <c r="F47" s="20"/>
      <c r="G47" s="20"/>
      <c r="H47" s="20"/>
      <c r="I47" s="20"/>
      <c r="J47" s="3"/>
      <c r="K47" s="3"/>
      <c r="L47" s="3"/>
      <c r="M47" s="3"/>
      <c r="N47" s="3"/>
      <c r="O47" s="3"/>
      <c r="P47" s="3"/>
      <c r="Q47" s="3"/>
      <c r="R47" s="3"/>
      <c r="S47" s="3"/>
      <c r="T47" s="3"/>
      <c r="U47" s="3"/>
      <c r="V47" s="3"/>
      <c r="W47" s="3"/>
      <c r="X47" s="3"/>
      <c r="Y47" s="3"/>
      <c r="Z47" s="3"/>
      <c r="AA47" s="3"/>
      <c r="AB47" s="3"/>
    </row>
    <row r="48">
      <c r="A48" s="20"/>
      <c r="B48" s="20"/>
      <c r="C48" s="20"/>
      <c r="D48" s="20"/>
      <c r="E48" s="20"/>
      <c r="F48" s="20"/>
      <c r="G48" s="20"/>
      <c r="H48" s="20"/>
      <c r="I48" s="20"/>
      <c r="J48" s="3"/>
      <c r="K48" s="3"/>
      <c r="L48" s="3"/>
      <c r="M48" s="3"/>
      <c r="N48" s="3"/>
      <c r="O48" s="3"/>
      <c r="P48" s="3"/>
      <c r="Q48" s="3"/>
      <c r="R48" s="3"/>
      <c r="S48" s="3"/>
      <c r="T48" s="3"/>
      <c r="U48" s="3"/>
      <c r="V48" s="3"/>
      <c r="W48" s="3"/>
      <c r="X48" s="3"/>
      <c r="Y48" s="3"/>
      <c r="Z48" s="3"/>
      <c r="AA48" s="3"/>
      <c r="AB48" s="3"/>
    </row>
    <row r="49">
      <c r="A49" s="20"/>
      <c r="B49" s="20"/>
      <c r="C49" s="20"/>
      <c r="D49" s="20"/>
      <c r="E49" s="20"/>
      <c r="F49" s="20"/>
      <c r="G49" s="20"/>
      <c r="H49" s="20"/>
      <c r="I49" s="20"/>
      <c r="J49" s="3"/>
      <c r="K49" s="3"/>
      <c r="L49" s="3"/>
      <c r="M49" s="3"/>
      <c r="N49" s="3"/>
      <c r="O49" s="3"/>
      <c r="P49" s="3"/>
      <c r="Q49" s="3"/>
      <c r="R49" s="3"/>
      <c r="S49" s="3"/>
      <c r="T49" s="3"/>
      <c r="U49" s="3"/>
      <c r="V49" s="3"/>
      <c r="W49" s="3"/>
      <c r="X49" s="3"/>
      <c r="Y49" s="3"/>
      <c r="Z49" s="3"/>
      <c r="AA49" s="3"/>
      <c r="AB49" s="3"/>
    </row>
    <row r="50">
      <c r="A50" s="20"/>
      <c r="B50" s="20"/>
      <c r="C50" s="20"/>
      <c r="D50" s="20"/>
      <c r="E50" s="20"/>
      <c r="F50" s="20"/>
      <c r="G50" s="20"/>
      <c r="H50" s="20"/>
      <c r="I50" s="20"/>
      <c r="J50" s="3"/>
      <c r="K50" s="3"/>
      <c r="L50" s="3"/>
      <c r="M50" s="3"/>
      <c r="N50" s="3"/>
      <c r="O50" s="3"/>
      <c r="P50" s="3"/>
      <c r="Q50" s="3"/>
      <c r="R50" s="3"/>
      <c r="S50" s="3"/>
      <c r="T50" s="3"/>
      <c r="U50" s="3"/>
      <c r="V50" s="3"/>
      <c r="W50" s="3"/>
      <c r="X50" s="3"/>
      <c r="Y50" s="3"/>
      <c r="Z50" s="3"/>
      <c r="AA50" s="3"/>
      <c r="AB50" s="3"/>
    </row>
    <row r="51">
      <c r="A51" s="20"/>
      <c r="B51" s="20"/>
      <c r="C51" s="20"/>
      <c r="D51" s="20"/>
      <c r="E51" s="20"/>
      <c r="F51" s="20"/>
      <c r="G51" s="20"/>
      <c r="H51" s="20"/>
      <c r="I51" s="20"/>
      <c r="J51" s="3"/>
      <c r="K51" s="3"/>
      <c r="L51" s="3"/>
      <c r="M51" s="3"/>
      <c r="N51" s="3"/>
      <c r="O51" s="3"/>
      <c r="P51" s="3"/>
      <c r="Q51" s="3"/>
      <c r="R51" s="3"/>
      <c r="S51" s="3"/>
      <c r="T51" s="3"/>
      <c r="U51" s="3"/>
      <c r="V51" s="3"/>
      <c r="W51" s="3"/>
      <c r="X51" s="3"/>
      <c r="Y51" s="3"/>
      <c r="Z51" s="3"/>
      <c r="AA51" s="3"/>
      <c r="AB51" s="3"/>
    </row>
    <row r="52">
      <c r="A52" s="20"/>
      <c r="B52" s="20"/>
      <c r="C52" s="20"/>
      <c r="D52" s="20"/>
      <c r="E52" s="20"/>
      <c r="F52" s="20"/>
      <c r="G52" s="20"/>
      <c r="H52" s="20"/>
      <c r="I52" s="20"/>
      <c r="J52" s="3"/>
      <c r="K52" s="3"/>
      <c r="L52" s="3"/>
      <c r="M52" s="3"/>
      <c r="N52" s="3"/>
      <c r="O52" s="3"/>
      <c r="P52" s="3"/>
      <c r="Q52" s="3"/>
      <c r="R52" s="3"/>
      <c r="S52" s="3"/>
      <c r="T52" s="3"/>
      <c r="U52" s="3"/>
      <c r="V52" s="3"/>
      <c r="W52" s="3"/>
      <c r="X52" s="3"/>
      <c r="Y52" s="3"/>
      <c r="Z52" s="3"/>
      <c r="AA52" s="3"/>
      <c r="AB52" s="3"/>
    </row>
    <row r="53">
      <c r="A53" s="20"/>
      <c r="B53" s="20"/>
      <c r="C53" s="20"/>
      <c r="D53" s="20"/>
      <c r="E53" s="20"/>
      <c r="F53" s="20"/>
      <c r="G53" s="20"/>
      <c r="H53" s="20"/>
      <c r="I53" s="20"/>
      <c r="J53" s="3"/>
      <c r="K53" s="3"/>
      <c r="L53" s="3"/>
      <c r="M53" s="3"/>
      <c r="N53" s="3"/>
      <c r="O53" s="3"/>
      <c r="P53" s="3"/>
      <c r="Q53" s="3"/>
      <c r="R53" s="3"/>
      <c r="S53" s="3"/>
      <c r="T53" s="3"/>
      <c r="U53" s="3"/>
      <c r="V53" s="3"/>
      <c r="W53" s="3"/>
      <c r="X53" s="3"/>
      <c r="Y53" s="3"/>
      <c r="Z53" s="3"/>
      <c r="AA53" s="3"/>
      <c r="AB53" s="3"/>
    </row>
    <row r="54">
      <c r="A54" s="20"/>
      <c r="B54" s="20"/>
      <c r="C54" s="20"/>
      <c r="D54" s="20"/>
      <c r="E54" s="20"/>
      <c r="F54" s="20"/>
      <c r="G54" s="20"/>
      <c r="H54" s="20"/>
      <c r="I54" s="20"/>
      <c r="J54" s="3"/>
      <c r="K54" s="3"/>
      <c r="L54" s="3"/>
      <c r="M54" s="3"/>
      <c r="N54" s="3"/>
      <c r="O54" s="3"/>
      <c r="P54" s="3"/>
      <c r="Q54" s="3"/>
      <c r="R54" s="3"/>
      <c r="S54" s="3"/>
      <c r="T54" s="3"/>
      <c r="U54" s="3"/>
      <c r="V54" s="3"/>
      <c r="W54" s="3"/>
      <c r="X54" s="3"/>
      <c r="Y54" s="3"/>
      <c r="Z54" s="3"/>
      <c r="AA54" s="3"/>
      <c r="AB54" s="3"/>
    </row>
    <row r="55">
      <c r="A55" s="20"/>
      <c r="B55" s="20"/>
      <c r="C55" s="20"/>
      <c r="D55" s="20"/>
      <c r="E55" s="20"/>
      <c r="F55" s="20"/>
      <c r="G55" s="20"/>
      <c r="H55" s="20"/>
      <c r="I55" s="20"/>
      <c r="J55" s="3"/>
      <c r="K55" s="3"/>
      <c r="L55" s="3"/>
      <c r="M55" s="3"/>
      <c r="N55" s="3"/>
      <c r="O55" s="3"/>
      <c r="P55" s="3"/>
      <c r="Q55" s="3"/>
      <c r="R55" s="3"/>
      <c r="S55" s="3"/>
      <c r="T55" s="3"/>
      <c r="U55" s="3"/>
      <c r="V55" s="3"/>
      <c r="W55" s="3"/>
      <c r="X55" s="3"/>
      <c r="Y55" s="3"/>
      <c r="Z55" s="3"/>
      <c r="AA55" s="3"/>
      <c r="AB55" s="3"/>
    </row>
    <row r="56">
      <c r="A56" s="20"/>
      <c r="B56" s="20"/>
      <c r="C56" s="20"/>
      <c r="D56" s="20"/>
      <c r="E56" s="20"/>
      <c r="F56" s="20"/>
      <c r="G56" s="20"/>
      <c r="H56" s="20"/>
      <c r="I56" s="20"/>
      <c r="J56" s="3"/>
      <c r="K56" s="3"/>
      <c r="L56" s="3"/>
      <c r="M56" s="3"/>
      <c r="N56" s="3"/>
      <c r="O56" s="3"/>
      <c r="P56" s="3"/>
      <c r="Q56" s="3"/>
      <c r="R56" s="3"/>
      <c r="S56" s="3"/>
      <c r="T56" s="3"/>
      <c r="U56" s="3"/>
      <c r="V56" s="3"/>
      <c r="W56" s="3"/>
      <c r="X56" s="3"/>
      <c r="Y56" s="3"/>
      <c r="Z56" s="3"/>
      <c r="AA56" s="3"/>
      <c r="AB56" s="3"/>
    </row>
    <row r="57">
      <c r="A57" s="20"/>
      <c r="B57" s="20"/>
      <c r="C57" s="20"/>
      <c r="D57" s="20"/>
      <c r="E57" s="20"/>
      <c r="F57" s="20"/>
      <c r="G57" s="20"/>
      <c r="H57" s="20"/>
      <c r="I57" s="20"/>
      <c r="J57" s="3"/>
      <c r="K57" s="3"/>
      <c r="L57" s="3"/>
      <c r="M57" s="3"/>
      <c r="N57" s="3"/>
      <c r="O57" s="3"/>
      <c r="P57" s="3"/>
      <c r="Q57" s="3"/>
      <c r="R57" s="3"/>
      <c r="S57" s="3"/>
      <c r="T57" s="3"/>
      <c r="U57" s="3"/>
      <c r="V57" s="3"/>
      <c r="W57" s="3"/>
      <c r="X57" s="3"/>
      <c r="Y57" s="3"/>
      <c r="Z57" s="3"/>
      <c r="AA57" s="3"/>
      <c r="AB57" s="3"/>
    </row>
    <row r="58">
      <c r="A58" s="20"/>
      <c r="B58" s="20"/>
      <c r="C58" s="20"/>
      <c r="D58" s="20"/>
      <c r="E58" s="20"/>
      <c r="F58" s="20"/>
      <c r="G58" s="20"/>
      <c r="H58" s="20"/>
      <c r="I58" s="20"/>
      <c r="J58" s="3"/>
      <c r="K58" s="3"/>
      <c r="L58" s="3"/>
      <c r="M58" s="3"/>
      <c r="N58" s="3"/>
      <c r="O58" s="3"/>
      <c r="P58" s="3"/>
      <c r="Q58" s="3"/>
      <c r="R58" s="3"/>
      <c r="S58" s="3"/>
      <c r="T58" s="3"/>
      <c r="U58" s="3"/>
      <c r="V58" s="3"/>
      <c r="W58" s="3"/>
      <c r="X58" s="3"/>
      <c r="Y58" s="3"/>
      <c r="Z58" s="3"/>
      <c r="AA58" s="3"/>
      <c r="AB58" s="3"/>
    </row>
    <row r="59">
      <c r="A59" s="20"/>
      <c r="B59" s="20"/>
      <c r="C59" s="20"/>
      <c r="D59" s="20"/>
      <c r="E59" s="20"/>
      <c r="F59" s="20"/>
      <c r="G59" s="20"/>
      <c r="H59" s="20"/>
      <c r="I59" s="20"/>
      <c r="J59" s="3"/>
      <c r="K59" s="3"/>
      <c r="L59" s="3"/>
      <c r="M59" s="3"/>
      <c r="N59" s="3"/>
      <c r="O59" s="3"/>
      <c r="P59" s="3"/>
      <c r="Q59" s="3"/>
      <c r="R59" s="3"/>
      <c r="S59" s="3"/>
      <c r="T59" s="3"/>
      <c r="U59" s="3"/>
      <c r="V59" s="3"/>
      <c r="W59" s="3"/>
      <c r="X59" s="3"/>
      <c r="Y59" s="3"/>
      <c r="Z59" s="3"/>
      <c r="AA59" s="3"/>
      <c r="AB59" s="3"/>
    </row>
    <row r="60">
      <c r="A60" s="20"/>
      <c r="B60" s="20"/>
      <c r="C60" s="20"/>
      <c r="D60" s="20"/>
      <c r="E60" s="20"/>
      <c r="F60" s="20"/>
      <c r="G60" s="20"/>
      <c r="H60" s="20"/>
      <c r="I60" s="20"/>
      <c r="J60" s="3"/>
      <c r="K60" s="3"/>
      <c r="L60" s="3"/>
      <c r="M60" s="3"/>
      <c r="N60" s="3"/>
      <c r="O60" s="3"/>
      <c r="P60" s="3"/>
      <c r="Q60" s="3"/>
      <c r="R60" s="3"/>
      <c r="S60" s="3"/>
      <c r="T60" s="3"/>
      <c r="U60" s="3"/>
      <c r="V60" s="3"/>
      <c r="W60" s="3"/>
      <c r="X60" s="3"/>
      <c r="Y60" s="3"/>
      <c r="Z60" s="3"/>
      <c r="AA60" s="3"/>
      <c r="AB60" s="3"/>
    </row>
    <row r="61">
      <c r="A61" s="20"/>
      <c r="B61" s="20"/>
      <c r="C61" s="20"/>
      <c r="D61" s="20"/>
      <c r="E61" s="20"/>
      <c r="F61" s="20"/>
      <c r="G61" s="20"/>
      <c r="H61" s="20"/>
      <c r="I61" s="20"/>
      <c r="J61" s="3"/>
      <c r="K61" s="3"/>
      <c r="L61" s="3"/>
      <c r="M61" s="3"/>
      <c r="N61" s="3"/>
      <c r="O61" s="3"/>
      <c r="P61" s="3"/>
      <c r="Q61" s="3"/>
      <c r="R61" s="3"/>
      <c r="S61" s="3"/>
      <c r="T61" s="3"/>
      <c r="U61" s="3"/>
      <c r="V61" s="3"/>
      <c r="W61" s="3"/>
      <c r="X61" s="3"/>
      <c r="Y61" s="3"/>
      <c r="Z61" s="3"/>
      <c r="AA61" s="3"/>
      <c r="AB61" s="3"/>
    </row>
    <row r="62">
      <c r="A62" s="20"/>
      <c r="B62" s="20"/>
      <c r="C62" s="20"/>
      <c r="D62" s="20"/>
      <c r="E62" s="20"/>
      <c r="F62" s="20"/>
      <c r="G62" s="20"/>
      <c r="H62" s="20"/>
      <c r="I62" s="20"/>
      <c r="J62" s="3"/>
      <c r="K62" s="3"/>
      <c r="L62" s="3"/>
      <c r="M62" s="3"/>
      <c r="N62" s="3"/>
      <c r="O62" s="3"/>
      <c r="P62" s="3"/>
      <c r="Q62" s="3"/>
      <c r="R62" s="3"/>
      <c r="S62" s="3"/>
      <c r="T62" s="3"/>
      <c r="U62" s="3"/>
      <c r="V62" s="3"/>
      <c r="W62" s="3"/>
      <c r="X62" s="3"/>
      <c r="Y62" s="3"/>
      <c r="Z62" s="3"/>
      <c r="AA62" s="3"/>
      <c r="AB62" s="3"/>
    </row>
    <row r="63">
      <c r="A63" s="20"/>
      <c r="B63" s="20"/>
      <c r="C63" s="20"/>
      <c r="D63" s="20"/>
      <c r="E63" s="20"/>
      <c r="F63" s="20"/>
      <c r="G63" s="20"/>
      <c r="H63" s="20"/>
      <c r="I63" s="20"/>
      <c r="J63" s="3"/>
      <c r="K63" s="3"/>
      <c r="L63" s="3"/>
      <c r="M63" s="3"/>
      <c r="N63" s="3"/>
      <c r="O63" s="3"/>
      <c r="P63" s="3"/>
      <c r="Q63" s="3"/>
      <c r="R63" s="3"/>
      <c r="S63" s="3"/>
      <c r="T63" s="3"/>
      <c r="U63" s="3"/>
      <c r="V63" s="3"/>
      <c r="W63" s="3"/>
      <c r="X63" s="3"/>
      <c r="Y63" s="3"/>
      <c r="Z63" s="3"/>
      <c r="AA63" s="3"/>
      <c r="AB63" s="3"/>
    </row>
    <row r="64">
      <c r="A64" s="20"/>
      <c r="B64" s="20"/>
      <c r="C64" s="20"/>
      <c r="D64" s="20"/>
      <c r="E64" s="20"/>
      <c r="F64" s="20"/>
      <c r="G64" s="20"/>
      <c r="H64" s="20"/>
      <c r="I64" s="20"/>
      <c r="J64" s="3"/>
      <c r="K64" s="3"/>
      <c r="L64" s="3"/>
      <c r="M64" s="3"/>
      <c r="N64" s="3"/>
      <c r="O64" s="3"/>
      <c r="P64" s="3"/>
      <c r="Q64" s="3"/>
      <c r="R64" s="3"/>
      <c r="S64" s="3"/>
      <c r="T64" s="3"/>
      <c r="U64" s="3"/>
      <c r="V64" s="3"/>
      <c r="W64" s="3"/>
      <c r="X64" s="3"/>
      <c r="Y64" s="3"/>
      <c r="Z64" s="3"/>
      <c r="AA64" s="3"/>
      <c r="AB64" s="3"/>
    </row>
    <row r="65">
      <c r="A65" s="20"/>
      <c r="B65" s="20"/>
      <c r="C65" s="20"/>
      <c r="D65" s="20"/>
      <c r="E65" s="20"/>
      <c r="F65" s="20"/>
      <c r="G65" s="20"/>
      <c r="H65" s="20"/>
      <c r="I65" s="20"/>
      <c r="J65" s="3"/>
      <c r="K65" s="3"/>
      <c r="L65" s="3"/>
      <c r="M65" s="3"/>
      <c r="N65" s="3"/>
      <c r="O65" s="3"/>
      <c r="P65" s="3"/>
      <c r="Q65" s="3"/>
      <c r="R65" s="3"/>
      <c r="S65" s="3"/>
      <c r="T65" s="3"/>
      <c r="U65" s="3"/>
      <c r="V65" s="3"/>
      <c r="W65" s="3"/>
      <c r="X65" s="3"/>
      <c r="Y65" s="3"/>
      <c r="Z65" s="3"/>
      <c r="AA65" s="3"/>
      <c r="AB65" s="3"/>
    </row>
    <row r="66">
      <c r="A66" s="20"/>
      <c r="B66" s="20"/>
      <c r="C66" s="20"/>
      <c r="D66" s="20"/>
      <c r="E66" s="20"/>
      <c r="F66" s="20"/>
      <c r="G66" s="20"/>
      <c r="H66" s="20"/>
      <c r="I66" s="20"/>
      <c r="J66" s="3"/>
      <c r="K66" s="3"/>
      <c r="L66" s="3"/>
      <c r="M66" s="3"/>
      <c r="N66" s="3"/>
      <c r="O66" s="3"/>
      <c r="P66" s="3"/>
      <c r="Q66" s="3"/>
      <c r="R66" s="3"/>
      <c r="S66" s="3"/>
      <c r="T66" s="3"/>
      <c r="U66" s="3"/>
      <c r="V66" s="3"/>
      <c r="W66" s="3"/>
      <c r="X66" s="3"/>
      <c r="Y66" s="3"/>
      <c r="Z66" s="3"/>
      <c r="AA66" s="3"/>
      <c r="AB66" s="3"/>
    </row>
    <row r="67">
      <c r="A67" s="20"/>
      <c r="B67" s="20"/>
      <c r="C67" s="20"/>
      <c r="D67" s="20"/>
      <c r="E67" s="20"/>
      <c r="F67" s="20"/>
      <c r="G67" s="20"/>
      <c r="H67" s="20"/>
      <c r="I67" s="20"/>
      <c r="J67" s="3"/>
      <c r="K67" s="3"/>
      <c r="L67" s="3"/>
      <c r="M67" s="3"/>
      <c r="N67" s="3"/>
      <c r="O67" s="3"/>
      <c r="P67" s="3"/>
      <c r="Q67" s="3"/>
      <c r="R67" s="3"/>
      <c r="S67" s="3"/>
      <c r="T67" s="3"/>
      <c r="U67" s="3"/>
      <c r="V67" s="3"/>
      <c r="W67" s="3"/>
      <c r="X67" s="3"/>
      <c r="Y67" s="3"/>
      <c r="Z67" s="3"/>
      <c r="AA67" s="3"/>
      <c r="AB67" s="3"/>
    </row>
    <row r="68">
      <c r="A68" s="20"/>
      <c r="B68" s="20"/>
      <c r="C68" s="20"/>
      <c r="D68" s="20"/>
      <c r="E68" s="20"/>
      <c r="F68" s="20"/>
      <c r="G68" s="20"/>
      <c r="H68" s="20"/>
      <c r="I68" s="20"/>
      <c r="J68" s="3"/>
      <c r="K68" s="3"/>
      <c r="L68" s="3"/>
      <c r="M68" s="3"/>
      <c r="N68" s="3"/>
      <c r="O68" s="3"/>
      <c r="P68" s="3"/>
      <c r="Q68" s="3"/>
      <c r="R68" s="3"/>
      <c r="S68" s="3"/>
      <c r="T68" s="3"/>
      <c r="U68" s="3"/>
      <c r="V68" s="3"/>
      <c r="W68" s="3"/>
      <c r="X68" s="3"/>
      <c r="Y68" s="3"/>
      <c r="Z68" s="3"/>
      <c r="AA68" s="3"/>
      <c r="AB68" s="3"/>
    </row>
    <row r="69">
      <c r="A69" s="20"/>
      <c r="B69" s="20"/>
      <c r="C69" s="20"/>
      <c r="D69" s="20"/>
      <c r="E69" s="20"/>
      <c r="F69" s="20"/>
      <c r="G69" s="20"/>
      <c r="H69" s="20"/>
      <c r="I69" s="20"/>
      <c r="J69" s="3"/>
      <c r="K69" s="3"/>
      <c r="L69" s="3"/>
      <c r="M69" s="3"/>
      <c r="N69" s="3"/>
      <c r="O69" s="3"/>
      <c r="P69" s="3"/>
      <c r="Q69" s="3"/>
      <c r="R69" s="3"/>
      <c r="S69" s="3"/>
      <c r="T69" s="3"/>
      <c r="U69" s="3"/>
      <c r="V69" s="3"/>
      <c r="W69" s="3"/>
      <c r="X69" s="3"/>
      <c r="Y69" s="3"/>
      <c r="Z69" s="3"/>
      <c r="AA69" s="3"/>
      <c r="AB69" s="3"/>
    </row>
    <row r="70">
      <c r="A70" s="20"/>
      <c r="B70" s="20"/>
      <c r="C70" s="20"/>
      <c r="D70" s="20"/>
      <c r="E70" s="20"/>
      <c r="F70" s="20"/>
      <c r="G70" s="20"/>
      <c r="H70" s="20"/>
      <c r="I70" s="20"/>
      <c r="J70" s="3"/>
      <c r="K70" s="3"/>
      <c r="L70" s="3"/>
      <c r="M70" s="3"/>
      <c r="N70" s="3"/>
      <c r="O70" s="3"/>
      <c r="P70" s="3"/>
      <c r="Q70" s="3"/>
      <c r="R70" s="3"/>
      <c r="S70" s="3"/>
      <c r="T70" s="3"/>
      <c r="U70" s="3"/>
      <c r="V70" s="3"/>
      <c r="W70" s="3"/>
      <c r="X70" s="3"/>
      <c r="Y70" s="3"/>
      <c r="Z70" s="3"/>
      <c r="AA70" s="3"/>
      <c r="AB70" s="3"/>
    </row>
    <row r="71">
      <c r="A71" s="20"/>
      <c r="B71" s="20"/>
      <c r="C71" s="20"/>
      <c r="D71" s="20"/>
      <c r="E71" s="20"/>
      <c r="F71" s="20"/>
      <c r="G71" s="20"/>
      <c r="H71" s="20"/>
      <c r="I71" s="20"/>
      <c r="J71" s="3"/>
      <c r="K71" s="3"/>
      <c r="L71" s="3"/>
      <c r="M71" s="3"/>
      <c r="N71" s="3"/>
      <c r="O71" s="3"/>
      <c r="P71" s="3"/>
      <c r="Q71" s="3"/>
      <c r="R71" s="3"/>
      <c r="S71" s="3"/>
      <c r="T71" s="3"/>
      <c r="U71" s="3"/>
      <c r="V71" s="3"/>
      <c r="W71" s="3"/>
      <c r="X71" s="3"/>
      <c r="Y71" s="3"/>
      <c r="Z71" s="3"/>
      <c r="AA71" s="3"/>
      <c r="AB71" s="3"/>
    </row>
    <row r="72">
      <c r="A72" s="20"/>
      <c r="B72" s="20"/>
      <c r="C72" s="20"/>
      <c r="D72" s="20"/>
      <c r="E72" s="20"/>
      <c r="F72" s="20"/>
      <c r="G72" s="20"/>
      <c r="H72" s="20"/>
      <c r="I72" s="20"/>
      <c r="J72" s="3"/>
      <c r="K72" s="3"/>
      <c r="L72" s="3"/>
      <c r="M72" s="3"/>
      <c r="N72" s="3"/>
      <c r="O72" s="3"/>
      <c r="P72" s="3"/>
      <c r="Q72" s="3"/>
      <c r="R72" s="3"/>
      <c r="S72" s="3"/>
      <c r="T72" s="3"/>
      <c r="U72" s="3"/>
      <c r="V72" s="3"/>
      <c r="W72" s="3"/>
      <c r="X72" s="3"/>
      <c r="Y72" s="3"/>
      <c r="Z72" s="3"/>
      <c r="AA72" s="3"/>
      <c r="AB72" s="3"/>
    </row>
    <row r="73">
      <c r="A73" s="20"/>
      <c r="B73" s="20"/>
      <c r="C73" s="20"/>
      <c r="D73" s="20"/>
      <c r="E73" s="20"/>
      <c r="F73" s="20"/>
      <c r="G73" s="20"/>
      <c r="H73" s="20"/>
      <c r="I73" s="20"/>
      <c r="J73" s="3"/>
      <c r="K73" s="3"/>
      <c r="L73" s="3"/>
      <c r="M73" s="3"/>
      <c r="N73" s="3"/>
      <c r="O73" s="3"/>
      <c r="P73" s="3"/>
      <c r="Q73" s="3"/>
      <c r="R73" s="3"/>
      <c r="S73" s="3"/>
      <c r="T73" s="3"/>
      <c r="U73" s="3"/>
      <c r="V73" s="3"/>
      <c r="W73" s="3"/>
      <c r="X73" s="3"/>
      <c r="Y73" s="3"/>
      <c r="Z73" s="3"/>
      <c r="AA73" s="3"/>
      <c r="AB73" s="3"/>
    </row>
    <row r="74">
      <c r="A74" s="20"/>
      <c r="B74" s="20"/>
      <c r="C74" s="20"/>
      <c r="D74" s="20"/>
      <c r="E74" s="20"/>
      <c r="F74" s="20"/>
      <c r="G74" s="20"/>
      <c r="H74" s="20"/>
      <c r="I74" s="20"/>
      <c r="J74" s="3"/>
      <c r="K74" s="3"/>
      <c r="L74" s="3"/>
      <c r="M74" s="3"/>
      <c r="N74" s="3"/>
      <c r="O74" s="3"/>
      <c r="P74" s="3"/>
      <c r="Q74" s="3"/>
      <c r="R74" s="3"/>
      <c r="S74" s="3"/>
      <c r="T74" s="3"/>
      <c r="U74" s="3"/>
      <c r="V74" s="3"/>
      <c r="W74" s="3"/>
      <c r="X74" s="3"/>
      <c r="Y74" s="3"/>
      <c r="Z74" s="3"/>
      <c r="AA74" s="3"/>
      <c r="AB74" s="3"/>
    </row>
    <row r="75">
      <c r="A75" s="20"/>
      <c r="B75" s="20"/>
      <c r="C75" s="20"/>
      <c r="D75" s="20"/>
      <c r="E75" s="20"/>
      <c r="F75" s="20"/>
      <c r="G75" s="20"/>
      <c r="H75" s="20"/>
      <c r="I75" s="20"/>
      <c r="J75" s="3"/>
      <c r="K75" s="3"/>
      <c r="L75" s="3"/>
      <c r="M75" s="3"/>
      <c r="N75" s="3"/>
      <c r="O75" s="3"/>
      <c r="P75" s="3"/>
      <c r="Q75" s="3"/>
      <c r="R75" s="3"/>
      <c r="S75" s="3"/>
      <c r="T75" s="3"/>
      <c r="U75" s="3"/>
      <c r="V75" s="3"/>
      <c r="W75" s="3"/>
      <c r="X75" s="3"/>
      <c r="Y75" s="3"/>
      <c r="Z75" s="3"/>
      <c r="AA75" s="3"/>
      <c r="AB75" s="3"/>
    </row>
    <row r="76">
      <c r="A76" s="20"/>
      <c r="B76" s="20"/>
      <c r="C76" s="20"/>
      <c r="D76" s="20"/>
      <c r="E76" s="20"/>
      <c r="F76" s="20"/>
      <c r="G76" s="20"/>
      <c r="H76" s="20"/>
      <c r="I76" s="20"/>
      <c r="J76" s="3"/>
      <c r="K76" s="3"/>
      <c r="L76" s="3"/>
      <c r="M76" s="3"/>
      <c r="N76" s="3"/>
      <c r="O76" s="3"/>
      <c r="P76" s="3"/>
      <c r="Q76" s="3"/>
      <c r="R76" s="3"/>
      <c r="S76" s="3"/>
      <c r="T76" s="3"/>
      <c r="U76" s="3"/>
      <c r="V76" s="3"/>
      <c r="W76" s="3"/>
      <c r="X76" s="3"/>
      <c r="Y76" s="3"/>
      <c r="Z76" s="3"/>
      <c r="AA76" s="3"/>
      <c r="AB76" s="3"/>
    </row>
    <row r="77">
      <c r="A77" s="20"/>
      <c r="B77" s="20"/>
      <c r="C77" s="20"/>
      <c r="D77" s="20"/>
      <c r="E77" s="20"/>
      <c r="F77" s="20"/>
      <c r="G77" s="20"/>
      <c r="H77" s="20"/>
      <c r="I77" s="20"/>
      <c r="J77" s="3"/>
      <c r="K77" s="3"/>
      <c r="L77" s="3"/>
      <c r="M77" s="3"/>
      <c r="N77" s="3"/>
      <c r="O77" s="3"/>
      <c r="P77" s="3"/>
      <c r="Q77" s="3"/>
      <c r="R77" s="3"/>
      <c r="S77" s="3"/>
      <c r="T77" s="3"/>
      <c r="U77" s="3"/>
      <c r="V77" s="3"/>
      <c r="W77" s="3"/>
      <c r="X77" s="3"/>
      <c r="Y77" s="3"/>
      <c r="Z77" s="3"/>
      <c r="AA77" s="3"/>
      <c r="AB77" s="3"/>
    </row>
    <row r="78">
      <c r="A78" s="20"/>
      <c r="B78" s="20"/>
      <c r="C78" s="20"/>
      <c r="D78" s="20"/>
      <c r="E78" s="20"/>
      <c r="F78" s="20"/>
      <c r="G78" s="20"/>
      <c r="H78" s="20"/>
      <c r="I78" s="20"/>
      <c r="J78" s="3"/>
      <c r="K78" s="3"/>
      <c r="L78" s="3"/>
      <c r="M78" s="3"/>
      <c r="N78" s="3"/>
      <c r="O78" s="3"/>
      <c r="P78" s="3"/>
      <c r="Q78" s="3"/>
      <c r="R78" s="3"/>
      <c r="S78" s="3"/>
      <c r="T78" s="3"/>
      <c r="U78" s="3"/>
      <c r="V78" s="3"/>
      <c r="W78" s="3"/>
      <c r="X78" s="3"/>
      <c r="Y78" s="3"/>
      <c r="Z78" s="3"/>
      <c r="AA78" s="3"/>
      <c r="AB78" s="3"/>
    </row>
    <row r="79">
      <c r="A79" s="20"/>
      <c r="B79" s="20"/>
      <c r="C79" s="20"/>
      <c r="D79" s="20"/>
      <c r="E79" s="20"/>
      <c r="F79" s="20"/>
      <c r="G79" s="20"/>
      <c r="H79" s="20"/>
      <c r="I79" s="20"/>
      <c r="J79" s="3"/>
      <c r="K79" s="3"/>
      <c r="L79" s="3"/>
      <c r="M79" s="3"/>
      <c r="N79" s="3"/>
      <c r="O79" s="3"/>
      <c r="P79" s="3"/>
      <c r="Q79" s="3"/>
      <c r="R79" s="3"/>
      <c r="S79" s="3"/>
      <c r="T79" s="3"/>
      <c r="U79" s="3"/>
      <c r="V79" s="3"/>
      <c r="W79" s="3"/>
      <c r="X79" s="3"/>
      <c r="Y79" s="3"/>
      <c r="Z79" s="3"/>
      <c r="AA79" s="3"/>
      <c r="AB79" s="3"/>
    </row>
    <row r="80">
      <c r="A80" s="20"/>
      <c r="B80" s="20"/>
      <c r="C80" s="20"/>
      <c r="D80" s="20"/>
      <c r="E80" s="20"/>
      <c r="F80" s="20"/>
      <c r="G80" s="20"/>
      <c r="H80" s="20"/>
      <c r="I80" s="20"/>
      <c r="J80" s="3"/>
      <c r="K80" s="3"/>
      <c r="L80" s="3"/>
      <c r="M80" s="3"/>
      <c r="N80" s="3"/>
      <c r="O80" s="3"/>
      <c r="P80" s="3"/>
      <c r="Q80" s="3"/>
      <c r="R80" s="3"/>
      <c r="S80" s="3"/>
      <c r="T80" s="3"/>
      <c r="U80" s="3"/>
      <c r="V80" s="3"/>
      <c r="W80" s="3"/>
      <c r="X80" s="3"/>
      <c r="Y80" s="3"/>
      <c r="Z80" s="3"/>
      <c r="AA80" s="3"/>
      <c r="AB80" s="3"/>
    </row>
    <row r="81">
      <c r="A81" s="20"/>
      <c r="B81" s="20"/>
      <c r="C81" s="20"/>
      <c r="D81" s="20"/>
      <c r="E81" s="20"/>
      <c r="F81" s="20"/>
      <c r="G81" s="20"/>
      <c r="H81" s="20"/>
      <c r="I81" s="20"/>
      <c r="J81" s="3"/>
      <c r="K81" s="3"/>
      <c r="L81" s="3"/>
      <c r="M81" s="3"/>
      <c r="N81" s="3"/>
      <c r="O81" s="3"/>
      <c r="P81" s="3"/>
      <c r="Q81" s="3"/>
      <c r="R81" s="3"/>
      <c r="S81" s="3"/>
      <c r="T81" s="3"/>
      <c r="U81" s="3"/>
      <c r="V81" s="3"/>
      <c r="W81" s="3"/>
      <c r="X81" s="3"/>
      <c r="Y81" s="3"/>
      <c r="Z81" s="3"/>
      <c r="AA81" s="3"/>
      <c r="AB81" s="3"/>
    </row>
    <row r="82">
      <c r="A82" s="20"/>
      <c r="B82" s="20"/>
      <c r="C82" s="20"/>
      <c r="D82" s="20"/>
      <c r="E82" s="20"/>
      <c r="F82" s="20"/>
      <c r="G82" s="20"/>
      <c r="H82" s="20"/>
      <c r="I82" s="20"/>
      <c r="J82" s="3"/>
      <c r="K82" s="3"/>
      <c r="L82" s="3"/>
      <c r="M82" s="3"/>
      <c r="N82" s="3"/>
      <c r="O82" s="3"/>
      <c r="P82" s="3"/>
      <c r="Q82" s="3"/>
      <c r="R82" s="3"/>
      <c r="S82" s="3"/>
      <c r="T82" s="3"/>
      <c r="U82" s="3"/>
      <c r="V82" s="3"/>
      <c r="W82" s="3"/>
      <c r="X82" s="3"/>
      <c r="Y82" s="3"/>
      <c r="Z82" s="3"/>
      <c r="AA82" s="3"/>
      <c r="AB82" s="3"/>
    </row>
    <row r="83">
      <c r="A83" s="20"/>
      <c r="B83" s="20"/>
      <c r="C83" s="20"/>
      <c r="D83" s="20"/>
      <c r="E83" s="20"/>
      <c r="F83" s="20"/>
      <c r="G83" s="20"/>
      <c r="H83" s="20"/>
      <c r="I83" s="20"/>
      <c r="J83" s="3"/>
      <c r="K83" s="3"/>
      <c r="L83" s="3"/>
      <c r="M83" s="3"/>
      <c r="N83" s="3"/>
      <c r="O83" s="3"/>
      <c r="P83" s="3"/>
      <c r="Q83" s="3"/>
      <c r="R83" s="3"/>
      <c r="S83" s="3"/>
      <c r="T83" s="3"/>
      <c r="U83" s="3"/>
      <c r="V83" s="3"/>
      <c r="W83" s="3"/>
      <c r="X83" s="3"/>
      <c r="Y83" s="3"/>
      <c r="Z83" s="3"/>
      <c r="AA83" s="3"/>
      <c r="AB83" s="3"/>
    </row>
    <row r="84">
      <c r="A84" s="20"/>
      <c r="B84" s="20"/>
      <c r="C84" s="20"/>
      <c r="D84" s="20"/>
      <c r="E84" s="20"/>
      <c r="F84" s="20"/>
      <c r="G84" s="20"/>
      <c r="H84" s="20"/>
      <c r="I84" s="20"/>
      <c r="J84" s="3"/>
      <c r="K84" s="3"/>
      <c r="L84" s="3"/>
      <c r="M84" s="3"/>
      <c r="N84" s="3"/>
      <c r="O84" s="3"/>
      <c r="P84" s="3"/>
      <c r="Q84" s="3"/>
      <c r="R84" s="3"/>
      <c r="S84" s="3"/>
      <c r="T84" s="3"/>
      <c r="U84" s="3"/>
      <c r="V84" s="3"/>
      <c r="W84" s="3"/>
      <c r="X84" s="3"/>
      <c r="Y84" s="3"/>
      <c r="Z84" s="3"/>
      <c r="AA84" s="3"/>
      <c r="AB84" s="3"/>
    </row>
    <row r="85">
      <c r="A85" s="20"/>
      <c r="B85" s="20"/>
      <c r="C85" s="20"/>
      <c r="D85" s="20"/>
      <c r="E85" s="20"/>
      <c r="F85" s="20"/>
      <c r="G85" s="20"/>
      <c r="H85" s="20"/>
      <c r="I85" s="20"/>
      <c r="J85" s="3"/>
      <c r="K85" s="3"/>
      <c r="L85" s="3"/>
      <c r="M85" s="3"/>
      <c r="N85" s="3"/>
      <c r="O85" s="3"/>
      <c r="P85" s="3"/>
      <c r="Q85" s="3"/>
      <c r="R85" s="3"/>
      <c r="S85" s="3"/>
      <c r="T85" s="3"/>
      <c r="U85" s="3"/>
      <c r="V85" s="3"/>
      <c r="W85" s="3"/>
      <c r="X85" s="3"/>
      <c r="Y85" s="3"/>
      <c r="Z85" s="3"/>
      <c r="AA85" s="3"/>
      <c r="AB85" s="3"/>
    </row>
    <row r="86">
      <c r="A86" s="20"/>
      <c r="B86" s="20"/>
      <c r="C86" s="20"/>
      <c r="D86" s="20"/>
      <c r="E86" s="20"/>
      <c r="F86" s="20"/>
      <c r="G86" s="20"/>
      <c r="H86" s="20"/>
      <c r="I86" s="20"/>
      <c r="J86" s="3"/>
      <c r="K86" s="3"/>
      <c r="L86" s="3"/>
      <c r="M86" s="3"/>
      <c r="N86" s="3"/>
      <c r="O86" s="3"/>
      <c r="P86" s="3"/>
      <c r="Q86" s="3"/>
      <c r="R86" s="3"/>
      <c r="S86" s="3"/>
      <c r="T86" s="3"/>
      <c r="U86" s="3"/>
      <c r="V86" s="3"/>
      <c r="W86" s="3"/>
      <c r="X86" s="3"/>
      <c r="Y86" s="3"/>
      <c r="Z86" s="3"/>
      <c r="AA86" s="3"/>
      <c r="AB86" s="3"/>
    </row>
    <row r="87">
      <c r="A87" s="20"/>
      <c r="B87" s="20"/>
      <c r="C87" s="20"/>
      <c r="D87" s="20"/>
      <c r="E87" s="20"/>
      <c r="F87" s="20"/>
      <c r="G87" s="20"/>
      <c r="H87" s="20"/>
      <c r="I87" s="20"/>
      <c r="J87" s="3"/>
      <c r="K87" s="3"/>
      <c r="L87" s="3"/>
      <c r="M87" s="3"/>
      <c r="N87" s="3"/>
      <c r="O87" s="3"/>
      <c r="P87" s="3"/>
      <c r="Q87" s="3"/>
      <c r="R87" s="3"/>
      <c r="S87" s="3"/>
      <c r="T87" s="3"/>
      <c r="U87" s="3"/>
      <c r="V87" s="3"/>
      <c r="W87" s="3"/>
      <c r="X87" s="3"/>
      <c r="Y87" s="3"/>
      <c r="Z87" s="3"/>
      <c r="AA87" s="3"/>
      <c r="AB87" s="3"/>
    </row>
    <row r="88">
      <c r="A88" s="20"/>
      <c r="B88" s="20"/>
      <c r="C88" s="20"/>
      <c r="D88" s="20"/>
      <c r="E88" s="20"/>
      <c r="F88" s="20"/>
      <c r="G88" s="20"/>
      <c r="H88" s="20"/>
      <c r="I88" s="20"/>
      <c r="J88" s="3"/>
      <c r="K88" s="3"/>
      <c r="L88" s="3"/>
      <c r="M88" s="3"/>
      <c r="N88" s="3"/>
      <c r="O88" s="3"/>
      <c r="P88" s="3"/>
      <c r="Q88" s="3"/>
      <c r="R88" s="3"/>
      <c r="S88" s="3"/>
      <c r="T88" s="3"/>
      <c r="U88" s="3"/>
      <c r="V88" s="3"/>
      <c r="W88" s="3"/>
      <c r="X88" s="3"/>
      <c r="Y88" s="3"/>
      <c r="Z88" s="3"/>
      <c r="AA88" s="3"/>
      <c r="AB88" s="3"/>
    </row>
    <row r="89">
      <c r="A89" s="20"/>
      <c r="B89" s="20"/>
      <c r="C89" s="20"/>
      <c r="D89" s="20"/>
      <c r="E89" s="20"/>
      <c r="F89" s="20"/>
      <c r="G89" s="20"/>
      <c r="H89" s="20"/>
      <c r="I89" s="20"/>
      <c r="J89" s="3"/>
      <c r="K89" s="3"/>
      <c r="L89" s="3"/>
      <c r="M89" s="3"/>
      <c r="N89" s="3"/>
      <c r="O89" s="3"/>
      <c r="P89" s="3"/>
      <c r="Q89" s="3"/>
      <c r="R89" s="3"/>
      <c r="S89" s="3"/>
      <c r="T89" s="3"/>
      <c r="U89" s="3"/>
      <c r="V89" s="3"/>
      <c r="W89" s="3"/>
      <c r="X89" s="3"/>
      <c r="Y89" s="3"/>
      <c r="Z89" s="3"/>
      <c r="AA89" s="3"/>
      <c r="AB89" s="3"/>
    </row>
    <row r="90">
      <c r="A90" s="20"/>
      <c r="B90" s="20"/>
      <c r="C90" s="20"/>
      <c r="D90" s="20"/>
      <c r="E90" s="20"/>
      <c r="F90" s="20"/>
      <c r="G90" s="20"/>
      <c r="H90" s="20"/>
      <c r="I90" s="20"/>
      <c r="J90" s="3"/>
      <c r="K90" s="3"/>
      <c r="L90" s="3"/>
      <c r="M90" s="3"/>
      <c r="N90" s="3"/>
      <c r="O90" s="3"/>
      <c r="P90" s="3"/>
      <c r="Q90" s="3"/>
      <c r="R90" s="3"/>
      <c r="S90" s="3"/>
      <c r="T90" s="3"/>
      <c r="U90" s="3"/>
      <c r="V90" s="3"/>
      <c r="W90" s="3"/>
      <c r="X90" s="3"/>
      <c r="Y90" s="3"/>
      <c r="Z90" s="3"/>
      <c r="AA90" s="3"/>
      <c r="AB90" s="3"/>
    </row>
    <row r="91">
      <c r="A91" s="20"/>
      <c r="B91" s="20"/>
      <c r="C91" s="20"/>
      <c r="D91" s="20"/>
      <c r="E91" s="20"/>
      <c r="F91" s="20"/>
      <c r="G91" s="20"/>
      <c r="H91" s="20"/>
      <c r="I91" s="20"/>
      <c r="J91" s="3"/>
      <c r="K91" s="3"/>
      <c r="L91" s="3"/>
      <c r="M91" s="3"/>
      <c r="N91" s="3"/>
      <c r="O91" s="3"/>
      <c r="P91" s="3"/>
      <c r="Q91" s="3"/>
      <c r="R91" s="3"/>
      <c r="S91" s="3"/>
      <c r="T91" s="3"/>
      <c r="U91" s="3"/>
      <c r="V91" s="3"/>
      <c r="W91" s="3"/>
      <c r="X91" s="3"/>
      <c r="Y91" s="3"/>
      <c r="Z91" s="3"/>
      <c r="AA91" s="3"/>
      <c r="AB91" s="3"/>
    </row>
    <row r="92">
      <c r="A92" s="20"/>
      <c r="B92" s="20"/>
      <c r="C92" s="20"/>
      <c r="D92" s="20"/>
      <c r="E92" s="20"/>
      <c r="F92" s="20"/>
      <c r="G92" s="20"/>
      <c r="H92" s="20"/>
      <c r="I92" s="20"/>
      <c r="J92" s="3"/>
      <c r="K92" s="3"/>
      <c r="L92" s="3"/>
      <c r="M92" s="3"/>
      <c r="N92" s="3"/>
      <c r="O92" s="3"/>
      <c r="P92" s="3"/>
      <c r="Q92" s="3"/>
      <c r="R92" s="3"/>
      <c r="S92" s="3"/>
      <c r="T92" s="3"/>
      <c r="U92" s="3"/>
      <c r="V92" s="3"/>
      <c r="W92" s="3"/>
      <c r="X92" s="3"/>
      <c r="Y92" s="3"/>
      <c r="Z92" s="3"/>
      <c r="AA92" s="3"/>
      <c r="AB92" s="3"/>
    </row>
    <row r="93">
      <c r="A93" s="20"/>
      <c r="B93" s="20"/>
      <c r="C93" s="20"/>
      <c r="D93" s="20"/>
      <c r="E93" s="20"/>
      <c r="F93" s="20"/>
      <c r="G93" s="20"/>
      <c r="H93" s="20"/>
      <c r="I93" s="20"/>
      <c r="J93" s="3"/>
      <c r="K93" s="3"/>
      <c r="L93" s="3"/>
      <c r="M93" s="3"/>
      <c r="N93" s="3"/>
      <c r="O93" s="3"/>
      <c r="P93" s="3"/>
      <c r="Q93" s="3"/>
      <c r="R93" s="3"/>
      <c r="S93" s="3"/>
      <c r="T93" s="3"/>
      <c r="U93" s="3"/>
      <c r="V93" s="3"/>
      <c r="W93" s="3"/>
      <c r="X93" s="3"/>
      <c r="Y93" s="3"/>
      <c r="Z93" s="3"/>
      <c r="AA93" s="3"/>
      <c r="AB93" s="3"/>
    </row>
    <row r="94">
      <c r="A94" s="20"/>
      <c r="B94" s="20"/>
      <c r="C94" s="20"/>
      <c r="D94" s="20"/>
      <c r="E94" s="20"/>
      <c r="F94" s="20"/>
      <c r="G94" s="20"/>
      <c r="H94" s="20"/>
      <c r="I94" s="20"/>
      <c r="J94" s="3"/>
      <c r="K94" s="3"/>
      <c r="L94" s="3"/>
      <c r="M94" s="3"/>
      <c r="N94" s="3"/>
      <c r="O94" s="3"/>
      <c r="P94" s="3"/>
      <c r="Q94" s="3"/>
      <c r="R94" s="3"/>
      <c r="S94" s="3"/>
      <c r="T94" s="3"/>
      <c r="U94" s="3"/>
      <c r="V94" s="3"/>
      <c r="W94" s="3"/>
      <c r="X94" s="3"/>
      <c r="Y94" s="3"/>
      <c r="Z94" s="3"/>
      <c r="AA94" s="3"/>
      <c r="AB94" s="3"/>
    </row>
    <row r="95">
      <c r="A95" s="20"/>
      <c r="B95" s="20"/>
      <c r="C95" s="20"/>
      <c r="D95" s="20"/>
      <c r="E95" s="20"/>
      <c r="F95" s="20"/>
      <c r="G95" s="20"/>
      <c r="H95" s="20"/>
      <c r="I95" s="20"/>
      <c r="J95" s="3"/>
      <c r="K95" s="3"/>
      <c r="L95" s="3"/>
      <c r="M95" s="3"/>
      <c r="N95" s="3"/>
      <c r="O95" s="3"/>
      <c r="P95" s="3"/>
      <c r="Q95" s="3"/>
      <c r="R95" s="3"/>
      <c r="S95" s="3"/>
      <c r="T95" s="3"/>
      <c r="U95" s="3"/>
      <c r="V95" s="3"/>
      <c r="W95" s="3"/>
      <c r="X95" s="3"/>
      <c r="Y95" s="3"/>
      <c r="Z95" s="3"/>
      <c r="AA95" s="3"/>
      <c r="AB95" s="3"/>
    </row>
    <row r="96">
      <c r="A96" s="20"/>
      <c r="B96" s="20"/>
      <c r="C96" s="20"/>
      <c r="D96" s="20"/>
      <c r="E96" s="20"/>
      <c r="F96" s="20"/>
      <c r="G96" s="20"/>
      <c r="H96" s="20"/>
      <c r="I96" s="20"/>
      <c r="J96" s="3"/>
      <c r="K96" s="3"/>
      <c r="L96" s="3"/>
      <c r="M96" s="3"/>
      <c r="N96" s="3"/>
      <c r="O96" s="3"/>
      <c r="P96" s="3"/>
      <c r="Q96" s="3"/>
      <c r="R96" s="3"/>
      <c r="S96" s="3"/>
      <c r="T96" s="3"/>
      <c r="U96" s="3"/>
      <c r="V96" s="3"/>
      <c r="W96" s="3"/>
      <c r="X96" s="3"/>
      <c r="Y96" s="3"/>
      <c r="Z96" s="3"/>
      <c r="AA96" s="3"/>
      <c r="AB96" s="3"/>
    </row>
    <row r="97">
      <c r="A97" s="20"/>
      <c r="B97" s="20"/>
      <c r="C97" s="20"/>
      <c r="D97" s="20"/>
      <c r="E97" s="20"/>
      <c r="F97" s="20"/>
      <c r="G97" s="20"/>
      <c r="H97" s="20"/>
      <c r="I97" s="20"/>
      <c r="J97" s="3"/>
      <c r="K97" s="3"/>
      <c r="L97" s="3"/>
      <c r="M97" s="3"/>
      <c r="N97" s="3"/>
      <c r="O97" s="3"/>
      <c r="P97" s="3"/>
      <c r="Q97" s="3"/>
      <c r="R97" s="3"/>
      <c r="S97" s="3"/>
      <c r="T97" s="3"/>
      <c r="U97" s="3"/>
      <c r="V97" s="3"/>
      <c r="W97" s="3"/>
      <c r="X97" s="3"/>
      <c r="Y97" s="3"/>
      <c r="Z97" s="3"/>
      <c r="AA97" s="3"/>
      <c r="AB97" s="3"/>
    </row>
    <row r="98">
      <c r="A98" s="20"/>
      <c r="B98" s="20"/>
      <c r="C98" s="20"/>
      <c r="D98" s="20"/>
      <c r="E98" s="20"/>
      <c r="F98" s="20"/>
      <c r="G98" s="20"/>
      <c r="H98" s="20"/>
      <c r="I98" s="20"/>
      <c r="J98" s="3"/>
      <c r="K98" s="3"/>
      <c r="L98" s="3"/>
      <c r="M98" s="3"/>
      <c r="N98" s="3"/>
      <c r="O98" s="3"/>
      <c r="P98" s="3"/>
      <c r="Q98" s="3"/>
      <c r="R98" s="3"/>
      <c r="S98" s="3"/>
      <c r="T98" s="3"/>
      <c r="U98" s="3"/>
      <c r="V98" s="3"/>
      <c r="W98" s="3"/>
      <c r="X98" s="3"/>
      <c r="Y98" s="3"/>
      <c r="Z98" s="3"/>
      <c r="AA98" s="3"/>
      <c r="AB98" s="3"/>
    </row>
    <row r="99">
      <c r="A99" s="20"/>
      <c r="B99" s="20"/>
      <c r="C99" s="20"/>
      <c r="D99" s="20"/>
      <c r="E99" s="20"/>
      <c r="F99" s="20"/>
      <c r="G99" s="20"/>
      <c r="H99" s="20"/>
      <c r="I99" s="20"/>
      <c r="J99" s="3"/>
      <c r="K99" s="3"/>
      <c r="L99" s="3"/>
      <c r="M99" s="3"/>
      <c r="N99" s="3"/>
      <c r="O99" s="3"/>
      <c r="P99" s="3"/>
      <c r="Q99" s="3"/>
      <c r="R99" s="3"/>
      <c r="S99" s="3"/>
      <c r="T99" s="3"/>
      <c r="U99" s="3"/>
      <c r="V99" s="3"/>
      <c r="W99" s="3"/>
      <c r="X99" s="3"/>
      <c r="Y99" s="3"/>
      <c r="Z99" s="3"/>
      <c r="AA99" s="3"/>
      <c r="AB99" s="3"/>
    </row>
    <row r="100">
      <c r="A100" s="20"/>
      <c r="B100" s="20"/>
      <c r="C100" s="20"/>
      <c r="D100" s="20"/>
      <c r="E100" s="20"/>
      <c r="F100" s="20"/>
      <c r="G100" s="20"/>
      <c r="H100" s="20"/>
      <c r="I100" s="20"/>
      <c r="J100" s="3"/>
      <c r="K100" s="3"/>
      <c r="L100" s="3"/>
      <c r="M100" s="3"/>
      <c r="N100" s="3"/>
      <c r="O100" s="3"/>
      <c r="P100" s="3"/>
      <c r="Q100" s="3"/>
      <c r="R100" s="3"/>
      <c r="S100" s="3"/>
      <c r="T100" s="3"/>
      <c r="U100" s="3"/>
      <c r="V100" s="3"/>
      <c r="W100" s="3"/>
      <c r="X100" s="3"/>
      <c r="Y100" s="3"/>
      <c r="Z100" s="3"/>
      <c r="AA100" s="3"/>
      <c r="AB100" s="3"/>
    </row>
    <row r="101">
      <c r="A101" s="20"/>
      <c r="B101" s="20"/>
      <c r="C101" s="20"/>
      <c r="D101" s="20"/>
      <c r="E101" s="20"/>
      <c r="F101" s="20"/>
      <c r="G101" s="20"/>
      <c r="H101" s="20"/>
      <c r="I101" s="20"/>
      <c r="J101" s="3"/>
      <c r="K101" s="3"/>
      <c r="L101" s="3"/>
      <c r="M101" s="3"/>
      <c r="N101" s="3"/>
      <c r="O101" s="3"/>
      <c r="P101" s="3"/>
      <c r="Q101" s="3"/>
      <c r="R101" s="3"/>
      <c r="S101" s="3"/>
      <c r="T101" s="3"/>
      <c r="U101" s="3"/>
      <c r="V101" s="3"/>
      <c r="W101" s="3"/>
      <c r="X101" s="3"/>
      <c r="Y101" s="3"/>
      <c r="Z101" s="3"/>
      <c r="AA101" s="3"/>
      <c r="AB101" s="3"/>
    </row>
    <row r="102">
      <c r="A102" s="20"/>
      <c r="B102" s="20"/>
      <c r="C102" s="20"/>
      <c r="D102" s="20"/>
      <c r="E102" s="20"/>
      <c r="F102" s="20"/>
      <c r="G102" s="20"/>
      <c r="H102" s="20"/>
      <c r="I102" s="20"/>
      <c r="J102" s="3"/>
      <c r="K102" s="3"/>
      <c r="L102" s="3"/>
      <c r="M102" s="3"/>
      <c r="N102" s="3"/>
      <c r="O102" s="3"/>
      <c r="P102" s="3"/>
      <c r="Q102" s="3"/>
      <c r="R102" s="3"/>
      <c r="S102" s="3"/>
      <c r="T102" s="3"/>
      <c r="U102" s="3"/>
      <c r="V102" s="3"/>
      <c r="W102" s="3"/>
      <c r="X102" s="3"/>
      <c r="Y102" s="3"/>
      <c r="Z102" s="3"/>
      <c r="AA102" s="3"/>
      <c r="AB102" s="3"/>
    </row>
    <row r="103">
      <c r="A103" s="20"/>
      <c r="B103" s="20"/>
      <c r="C103" s="20"/>
      <c r="D103" s="20"/>
      <c r="E103" s="20"/>
      <c r="F103" s="20"/>
      <c r="G103" s="20"/>
      <c r="H103" s="20"/>
      <c r="I103" s="20"/>
      <c r="J103" s="3"/>
      <c r="K103" s="3"/>
      <c r="L103" s="3"/>
      <c r="M103" s="3"/>
      <c r="N103" s="3"/>
      <c r="O103" s="3"/>
      <c r="P103" s="3"/>
      <c r="Q103" s="3"/>
      <c r="R103" s="3"/>
      <c r="S103" s="3"/>
      <c r="T103" s="3"/>
      <c r="U103" s="3"/>
      <c r="V103" s="3"/>
      <c r="W103" s="3"/>
      <c r="X103" s="3"/>
      <c r="Y103" s="3"/>
      <c r="Z103" s="3"/>
      <c r="AA103" s="3"/>
      <c r="AB103" s="3"/>
    </row>
    <row r="104">
      <c r="A104" s="20"/>
      <c r="B104" s="20"/>
      <c r="C104" s="20"/>
      <c r="D104" s="20"/>
      <c r="E104" s="20"/>
      <c r="F104" s="20"/>
      <c r="G104" s="20"/>
      <c r="H104" s="20"/>
      <c r="I104" s="20"/>
      <c r="J104" s="3"/>
      <c r="K104" s="3"/>
      <c r="L104" s="3"/>
      <c r="M104" s="3"/>
      <c r="N104" s="3"/>
      <c r="O104" s="3"/>
      <c r="P104" s="3"/>
      <c r="Q104" s="3"/>
      <c r="R104" s="3"/>
      <c r="S104" s="3"/>
      <c r="T104" s="3"/>
      <c r="U104" s="3"/>
      <c r="V104" s="3"/>
      <c r="W104" s="3"/>
      <c r="X104" s="3"/>
      <c r="Y104" s="3"/>
      <c r="Z104" s="3"/>
      <c r="AA104" s="3"/>
      <c r="AB104" s="3"/>
    </row>
    <row r="105">
      <c r="A105" s="20"/>
      <c r="B105" s="20"/>
      <c r="C105" s="20"/>
      <c r="D105" s="20"/>
      <c r="E105" s="20"/>
      <c r="F105" s="20"/>
      <c r="G105" s="20"/>
      <c r="H105" s="20"/>
      <c r="I105" s="20"/>
      <c r="J105" s="3"/>
      <c r="K105" s="3"/>
      <c r="L105" s="3"/>
      <c r="M105" s="3"/>
      <c r="N105" s="3"/>
      <c r="O105" s="3"/>
      <c r="P105" s="3"/>
      <c r="Q105" s="3"/>
      <c r="R105" s="3"/>
      <c r="S105" s="3"/>
      <c r="T105" s="3"/>
      <c r="U105" s="3"/>
      <c r="V105" s="3"/>
      <c r="W105" s="3"/>
      <c r="X105" s="3"/>
      <c r="Y105" s="3"/>
      <c r="Z105" s="3"/>
      <c r="AA105" s="3"/>
      <c r="AB105" s="3"/>
    </row>
    <row r="106">
      <c r="A106" s="20"/>
      <c r="B106" s="20"/>
      <c r="C106" s="20"/>
      <c r="D106" s="20"/>
      <c r="E106" s="20"/>
      <c r="F106" s="20"/>
      <c r="G106" s="20"/>
      <c r="H106" s="20"/>
      <c r="I106" s="20"/>
      <c r="J106" s="3"/>
      <c r="K106" s="3"/>
      <c r="L106" s="3"/>
      <c r="M106" s="3"/>
      <c r="N106" s="3"/>
      <c r="O106" s="3"/>
      <c r="P106" s="3"/>
      <c r="Q106" s="3"/>
      <c r="R106" s="3"/>
      <c r="S106" s="3"/>
      <c r="T106" s="3"/>
      <c r="U106" s="3"/>
      <c r="V106" s="3"/>
      <c r="W106" s="3"/>
      <c r="X106" s="3"/>
      <c r="Y106" s="3"/>
      <c r="Z106" s="3"/>
      <c r="AA106" s="3"/>
      <c r="AB106" s="3"/>
    </row>
    <row r="107">
      <c r="A107" s="20"/>
      <c r="B107" s="20"/>
      <c r="C107" s="20"/>
      <c r="D107" s="20"/>
      <c r="E107" s="20"/>
      <c r="F107" s="20"/>
      <c r="G107" s="20"/>
      <c r="H107" s="20"/>
      <c r="I107" s="20"/>
      <c r="J107" s="3"/>
      <c r="K107" s="3"/>
      <c r="L107" s="3"/>
      <c r="M107" s="3"/>
      <c r="N107" s="3"/>
      <c r="O107" s="3"/>
      <c r="P107" s="3"/>
      <c r="Q107" s="3"/>
      <c r="R107" s="3"/>
      <c r="S107" s="3"/>
      <c r="T107" s="3"/>
      <c r="U107" s="3"/>
      <c r="V107" s="3"/>
      <c r="W107" s="3"/>
      <c r="X107" s="3"/>
      <c r="Y107" s="3"/>
      <c r="Z107" s="3"/>
      <c r="AA107" s="3"/>
      <c r="AB107" s="3"/>
    </row>
    <row r="108">
      <c r="A108" s="20"/>
      <c r="B108" s="20"/>
      <c r="C108" s="20"/>
      <c r="D108" s="20"/>
      <c r="E108" s="20"/>
      <c r="F108" s="20"/>
      <c r="G108" s="20"/>
      <c r="H108" s="20"/>
      <c r="I108" s="20"/>
      <c r="J108" s="3"/>
      <c r="K108" s="3"/>
      <c r="L108" s="3"/>
      <c r="M108" s="3"/>
      <c r="N108" s="3"/>
      <c r="O108" s="3"/>
      <c r="P108" s="3"/>
      <c r="Q108" s="3"/>
      <c r="R108" s="3"/>
      <c r="S108" s="3"/>
      <c r="T108" s="3"/>
      <c r="U108" s="3"/>
      <c r="V108" s="3"/>
      <c r="W108" s="3"/>
      <c r="X108" s="3"/>
      <c r="Y108" s="3"/>
      <c r="Z108" s="3"/>
      <c r="AA108" s="3"/>
      <c r="AB108" s="3"/>
    </row>
    <row r="109">
      <c r="A109" s="20"/>
      <c r="B109" s="20"/>
      <c r="C109" s="20"/>
      <c r="D109" s="20"/>
      <c r="E109" s="20"/>
      <c r="F109" s="20"/>
      <c r="G109" s="20"/>
      <c r="H109" s="20"/>
      <c r="I109" s="20"/>
      <c r="J109" s="3"/>
      <c r="K109" s="3"/>
      <c r="L109" s="3"/>
      <c r="M109" s="3"/>
      <c r="N109" s="3"/>
      <c r="O109" s="3"/>
      <c r="P109" s="3"/>
      <c r="Q109" s="3"/>
      <c r="R109" s="3"/>
      <c r="S109" s="3"/>
      <c r="T109" s="3"/>
      <c r="U109" s="3"/>
      <c r="V109" s="3"/>
      <c r="W109" s="3"/>
      <c r="X109" s="3"/>
      <c r="Y109" s="3"/>
      <c r="Z109" s="3"/>
      <c r="AA109" s="3"/>
      <c r="AB109" s="3"/>
    </row>
    <row r="110">
      <c r="A110" s="20"/>
      <c r="B110" s="20"/>
      <c r="C110" s="20"/>
      <c r="D110" s="20"/>
      <c r="E110" s="20"/>
      <c r="F110" s="20"/>
      <c r="G110" s="20"/>
      <c r="H110" s="20"/>
      <c r="I110" s="20"/>
      <c r="J110" s="3"/>
      <c r="K110" s="3"/>
      <c r="L110" s="3"/>
      <c r="M110" s="3"/>
      <c r="N110" s="3"/>
      <c r="O110" s="3"/>
      <c r="P110" s="3"/>
      <c r="Q110" s="3"/>
      <c r="R110" s="3"/>
      <c r="S110" s="3"/>
      <c r="T110" s="3"/>
      <c r="U110" s="3"/>
      <c r="V110" s="3"/>
      <c r="W110" s="3"/>
      <c r="X110" s="3"/>
      <c r="Y110" s="3"/>
      <c r="Z110" s="3"/>
      <c r="AA110" s="3"/>
      <c r="AB110" s="3"/>
    </row>
    <row r="111">
      <c r="A111" s="20"/>
      <c r="B111" s="20"/>
      <c r="C111" s="20"/>
      <c r="D111" s="20"/>
      <c r="E111" s="20"/>
      <c r="F111" s="20"/>
      <c r="G111" s="20"/>
      <c r="H111" s="20"/>
      <c r="I111" s="20"/>
      <c r="J111" s="3"/>
      <c r="K111" s="3"/>
      <c r="L111" s="3"/>
      <c r="M111" s="3"/>
      <c r="N111" s="3"/>
      <c r="O111" s="3"/>
      <c r="P111" s="3"/>
      <c r="Q111" s="3"/>
      <c r="R111" s="3"/>
      <c r="S111" s="3"/>
      <c r="T111" s="3"/>
      <c r="U111" s="3"/>
      <c r="V111" s="3"/>
      <c r="W111" s="3"/>
      <c r="X111" s="3"/>
      <c r="Y111" s="3"/>
      <c r="Z111" s="3"/>
      <c r="AA111" s="3"/>
      <c r="AB111" s="3"/>
    </row>
    <row r="112">
      <c r="A112" s="20"/>
      <c r="B112" s="20"/>
      <c r="C112" s="20"/>
      <c r="D112" s="20"/>
      <c r="E112" s="20"/>
      <c r="F112" s="20"/>
      <c r="G112" s="20"/>
      <c r="H112" s="20"/>
      <c r="I112" s="20"/>
      <c r="J112" s="3"/>
      <c r="K112" s="3"/>
      <c r="L112" s="3"/>
      <c r="M112" s="3"/>
      <c r="N112" s="3"/>
      <c r="O112" s="3"/>
      <c r="P112" s="3"/>
      <c r="Q112" s="3"/>
      <c r="R112" s="3"/>
      <c r="S112" s="3"/>
      <c r="T112" s="3"/>
      <c r="U112" s="3"/>
      <c r="V112" s="3"/>
      <c r="W112" s="3"/>
      <c r="X112" s="3"/>
      <c r="Y112" s="3"/>
      <c r="Z112" s="3"/>
      <c r="AA112" s="3"/>
      <c r="AB112" s="3"/>
    </row>
    <row r="113">
      <c r="A113" s="20"/>
      <c r="B113" s="20"/>
      <c r="C113" s="20"/>
      <c r="D113" s="20"/>
      <c r="E113" s="20"/>
      <c r="F113" s="20"/>
      <c r="G113" s="20"/>
      <c r="H113" s="20"/>
      <c r="I113" s="20"/>
      <c r="J113" s="3"/>
      <c r="K113" s="3"/>
      <c r="L113" s="3"/>
      <c r="M113" s="3"/>
      <c r="N113" s="3"/>
      <c r="O113" s="3"/>
      <c r="P113" s="3"/>
      <c r="Q113" s="3"/>
      <c r="R113" s="3"/>
      <c r="S113" s="3"/>
      <c r="T113" s="3"/>
      <c r="U113" s="3"/>
      <c r="V113" s="3"/>
      <c r="W113" s="3"/>
      <c r="X113" s="3"/>
      <c r="Y113" s="3"/>
      <c r="Z113" s="3"/>
      <c r="AA113" s="3"/>
      <c r="AB113" s="3"/>
    </row>
    <row r="114">
      <c r="A114" s="20"/>
      <c r="B114" s="20"/>
      <c r="C114" s="20"/>
      <c r="D114" s="20"/>
      <c r="E114" s="20"/>
      <c r="F114" s="20"/>
      <c r="G114" s="20"/>
      <c r="H114" s="20"/>
      <c r="I114" s="20"/>
      <c r="J114" s="3"/>
      <c r="K114" s="3"/>
      <c r="L114" s="3"/>
      <c r="M114" s="3"/>
      <c r="N114" s="3"/>
      <c r="O114" s="3"/>
      <c r="P114" s="3"/>
      <c r="Q114" s="3"/>
      <c r="R114" s="3"/>
      <c r="S114" s="3"/>
      <c r="T114" s="3"/>
      <c r="U114" s="3"/>
      <c r="V114" s="3"/>
      <c r="W114" s="3"/>
      <c r="X114" s="3"/>
      <c r="Y114" s="3"/>
      <c r="Z114" s="3"/>
      <c r="AA114" s="3"/>
      <c r="AB114" s="3"/>
    </row>
    <row r="115">
      <c r="A115" s="20"/>
      <c r="B115" s="20"/>
      <c r="C115" s="20"/>
      <c r="D115" s="20"/>
      <c r="E115" s="20"/>
      <c r="F115" s="20"/>
      <c r="G115" s="20"/>
      <c r="H115" s="20"/>
      <c r="I115" s="20"/>
      <c r="J115" s="3"/>
      <c r="K115" s="3"/>
      <c r="L115" s="3"/>
      <c r="M115" s="3"/>
      <c r="N115" s="3"/>
      <c r="O115" s="3"/>
      <c r="P115" s="3"/>
      <c r="Q115" s="3"/>
      <c r="R115" s="3"/>
      <c r="S115" s="3"/>
      <c r="T115" s="3"/>
      <c r="U115" s="3"/>
      <c r="V115" s="3"/>
      <c r="W115" s="3"/>
      <c r="X115" s="3"/>
      <c r="Y115" s="3"/>
      <c r="Z115" s="3"/>
      <c r="AA115" s="3"/>
      <c r="AB115" s="3"/>
    </row>
    <row r="116">
      <c r="A116" s="20"/>
      <c r="B116" s="20"/>
      <c r="C116" s="20"/>
      <c r="D116" s="20"/>
      <c r="E116" s="20"/>
      <c r="F116" s="20"/>
      <c r="G116" s="20"/>
      <c r="H116" s="20"/>
      <c r="I116" s="20"/>
      <c r="J116" s="3"/>
      <c r="K116" s="3"/>
      <c r="L116" s="3"/>
      <c r="M116" s="3"/>
      <c r="N116" s="3"/>
      <c r="O116" s="3"/>
      <c r="P116" s="3"/>
      <c r="Q116" s="3"/>
      <c r="R116" s="3"/>
      <c r="S116" s="3"/>
      <c r="T116" s="3"/>
      <c r="U116" s="3"/>
      <c r="V116" s="3"/>
      <c r="W116" s="3"/>
      <c r="X116" s="3"/>
      <c r="Y116" s="3"/>
      <c r="Z116" s="3"/>
      <c r="AA116" s="3"/>
      <c r="AB116" s="3"/>
    </row>
    <row r="117">
      <c r="A117" s="20"/>
      <c r="B117" s="20"/>
      <c r="C117" s="20"/>
      <c r="D117" s="20"/>
      <c r="E117" s="20"/>
      <c r="F117" s="20"/>
      <c r="G117" s="20"/>
      <c r="H117" s="20"/>
      <c r="I117" s="20"/>
      <c r="J117" s="3"/>
      <c r="K117" s="3"/>
      <c r="L117" s="3"/>
      <c r="M117" s="3"/>
      <c r="N117" s="3"/>
      <c r="O117" s="3"/>
      <c r="P117" s="3"/>
      <c r="Q117" s="3"/>
      <c r="R117" s="3"/>
      <c r="S117" s="3"/>
      <c r="T117" s="3"/>
      <c r="U117" s="3"/>
      <c r="V117" s="3"/>
      <c r="W117" s="3"/>
      <c r="X117" s="3"/>
      <c r="Y117" s="3"/>
      <c r="Z117" s="3"/>
      <c r="AA117" s="3"/>
      <c r="AB117" s="3"/>
    </row>
    <row r="118">
      <c r="A118" s="20"/>
      <c r="B118" s="20"/>
      <c r="C118" s="20"/>
      <c r="D118" s="20"/>
      <c r="E118" s="20"/>
      <c r="F118" s="20"/>
      <c r="G118" s="20"/>
      <c r="H118" s="20"/>
      <c r="I118" s="20"/>
      <c r="J118" s="3"/>
      <c r="K118" s="3"/>
      <c r="L118" s="3"/>
      <c r="M118" s="3"/>
      <c r="N118" s="3"/>
      <c r="O118" s="3"/>
      <c r="P118" s="3"/>
      <c r="Q118" s="3"/>
      <c r="R118" s="3"/>
      <c r="S118" s="3"/>
      <c r="T118" s="3"/>
      <c r="U118" s="3"/>
      <c r="V118" s="3"/>
      <c r="W118" s="3"/>
      <c r="X118" s="3"/>
      <c r="Y118" s="3"/>
      <c r="Z118" s="3"/>
      <c r="AA118" s="3"/>
      <c r="AB118" s="3"/>
    </row>
    <row r="119">
      <c r="A119" s="20"/>
      <c r="B119" s="20"/>
      <c r="C119" s="20"/>
      <c r="D119" s="20"/>
      <c r="E119" s="20"/>
      <c r="F119" s="20"/>
      <c r="G119" s="20"/>
      <c r="H119" s="20"/>
      <c r="I119" s="20"/>
      <c r="J119" s="3"/>
      <c r="K119" s="3"/>
      <c r="L119" s="3"/>
      <c r="M119" s="3"/>
      <c r="N119" s="3"/>
      <c r="O119" s="3"/>
      <c r="P119" s="3"/>
      <c r="Q119" s="3"/>
      <c r="R119" s="3"/>
      <c r="S119" s="3"/>
      <c r="T119" s="3"/>
      <c r="U119" s="3"/>
      <c r="V119" s="3"/>
      <c r="W119" s="3"/>
      <c r="X119" s="3"/>
      <c r="Y119" s="3"/>
      <c r="Z119" s="3"/>
      <c r="AA119" s="3"/>
      <c r="AB119" s="3"/>
    </row>
    <row r="120">
      <c r="A120" s="20"/>
      <c r="B120" s="20"/>
      <c r="C120" s="20"/>
      <c r="D120" s="20"/>
      <c r="E120" s="20"/>
      <c r="F120" s="20"/>
      <c r="G120" s="20"/>
      <c r="H120" s="20"/>
      <c r="I120" s="20"/>
      <c r="J120" s="3"/>
      <c r="K120" s="3"/>
      <c r="L120" s="3"/>
      <c r="M120" s="3"/>
      <c r="N120" s="3"/>
      <c r="O120" s="3"/>
      <c r="P120" s="3"/>
      <c r="Q120" s="3"/>
      <c r="R120" s="3"/>
      <c r="S120" s="3"/>
      <c r="T120" s="3"/>
      <c r="U120" s="3"/>
      <c r="V120" s="3"/>
      <c r="W120" s="3"/>
      <c r="X120" s="3"/>
      <c r="Y120" s="3"/>
      <c r="Z120" s="3"/>
      <c r="AA120" s="3"/>
      <c r="AB120" s="3"/>
    </row>
    <row r="121">
      <c r="A121" s="20"/>
      <c r="B121" s="20"/>
      <c r="C121" s="20"/>
      <c r="D121" s="20"/>
      <c r="E121" s="20"/>
      <c r="F121" s="20"/>
      <c r="G121" s="20"/>
      <c r="H121" s="20"/>
      <c r="I121" s="20"/>
      <c r="J121" s="3"/>
      <c r="K121" s="3"/>
      <c r="L121" s="3"/>
      <c r="M121" s="3"/>
      <c r="N121" s="3"/>
      <c r="O121" s="3"/>
      <c r="P121" s="3"/>
      <c r="Q121" s="3"/>
      <c r="R121" s="3"/>
      <c r="S121" s="3"/>
      <c r="T121" s="3"/>
      <c r="U121" s="3"/>
      <c r="V121" s="3"/>
      <c r="W121" s="3"/>
      <c r="X121" s="3"/>
      <c r="Y121" s="3"/>
      <c r="Z121" s="3"/>
      <c r="AA121" s="3"/>
      <c r="AB121" s="3"/>
    </row>
    <row r="122">
      <c r="A122" s="20"/>
      <c r="B122" s="20"/>
      <c r="C122" s="20"/>
      <c r="D122" s="20"/>
      <c r="E122" s="20"/>
      <c r="F122" s="20"/>
      <c r="G122" s="20"/>
      <c r="H122" s="20"/>
      <c r="I122" s="20"/>
      <c r="J122" s="3"/>
      <c r="K122" s="3"/>
      <c r="L122" s="3"/>
      <c r="M122" s="3"/>
      <c r="N122" s="3"/>
      <c r="O122" s="3"/>
      <c r="P122" s="3"/>
      <c r="Q122" s="3"/>
      <c r="R122" s="3"/>
      <c r="S122" s="3"/>
      <c r="T122" s="3"/>
      <c r="U122" s="3"/>
      <c r="V122" s="3"/>
      <c r="W122" s="3"/>
      <c r="X122" s="3"/>
      <c r="Y122" s="3"/>
      <c r="Z122" s="3"/>
      <c r="AA122" s="3"/>
      <c r="AB122" s="3"/>
    </row>
    <row r="123">
      <c r="A123" s="20"/>
      <c r="B123" s="20"/>
      <c r="C123" s="20"/>
      <c r="D123" s="20"/>
      <c r="E123" s="20"/>
      <c r="F123" s="20"/>
      <c r="G123" s="20"/>
      <c r="H123" s="20"/>
      <c r="I123" s="20"/>
      <c r="J123" s="3"/>
      <c r="K123" s="3"/>
      <c r="L123" s="3"/>
      <c r="M123" s="3"/>
      <c r="N123" s="3"/>
      <c r="O123" s="3"/>
      <c r="P123" s="3"/>
      <c r="Q123" s="3"/>
      <c r="R123" s="3"/>
      <c r="S123" s="3"/>
      <c r="T123" s="3"/>
      <c r="U123" s="3"/>
      <c r="V123" s="3"/>
      <c r="W123" s="3"/>
      <c r="X123" s="3"/>
      <c r="Y123" s="3"/>
      <c r="Z123" s="3"/>
      <c r="AA123" s="3"/>
      <c r="AB123" s="3"/>
    </row>
    <row r="124">
      <c r="A124" s="20"/>
      <c r="B124" s="20"/>
      <c r="C124" s="20"/>
      <c r="D124" s="20"/>
      <c r="E124" s="20"/>
      <c r="F124" s="20"/>
      <c r="G124" s="20"/>
      <c r="H124" s="20"/>
      <c r="I124" s="20"/>
      <c r="J124" s="3"/>
      <c r="K124" s="3"/>
      <c r="L124" s="3"/>
      <c r="M124" s="3"/>
      <c r="N124" s="3"/>
      <c r="O124" s="3"/>
      <c r="P124" s="3"/>
      <c r="Q124" s="3"/>
      <c r="R124" s="3"/>
      <c r="S124" s="3"/>
      <c r="T124" s="3"/>
      <c r="U124" s="3"/>
      <c r="V124" s="3"/>
      <c r="W124" s="3"/>
      <c r="X124" s="3"/>
      <c r="Y124" s="3"/>
      <c r="Z124" s="3"/>
      <c r="AA124" s="3"/>
      <c r="AB124" s="3"/>
    </row>
    <row r="125">
      <c r="A125" s="20"/>
      <c r="B125" s="20"/>
      <c r="C125" s="20"/>
      <c r="D125" s="20"/>
      <c r="E125" s="20"/>
      <c r="F125" s="20"/>
      <c r="G125" s="20"/>
      <c r="H125" s="20"/>
      <c r="I125" s="20"/>
      <c r="J125" s="3"/>
      <c r="K125" s="3"/>
      <c r="L125" s="3"/>
      <c r="M125" s="3"/>
      <c r="N125" s="3"/>
      <c r="O125" s="3"/>
      <c r="P125" s="3"/>
      <c r="Q125" s="3"/>
      <c r="R125" s="3"/>
      <c r="S125" s="3"/>
      <c r="T125" s="3"/>
      <c r="U125" s="3"/>
      <c r="V125" s="3"/>
      <c r="W125" s="3"/>
      <c r="X125" s="3"/>
      <c r="Y125" s="3"/>
      <c r="Z125" s="3"/>
      <c r="AA125" s="3"/>
      <c r="AB125" s="3"/>
    </row>
    <row r="126">
      <c r="A126" s="20"/>
      <c r="B126" s="20"/>
      <c r="C126" s="20"/>
      <c r="D126" s="20"/>
      <c r="E126" s="20"/>
      <c r="F126" s="20"/>
      <c r="G126" s="20"/>
      <c r="H126" s="20"/>
      <c r="I126" s="20"/>
      <c r="J126" s="3"/>
      <c r="K126" s="3"/>
      <c r="L126" s="3"/>
      <c r="M126" s="3"/>
      <c r="N126" s="3"/>
      <c r="O126" s="3"/>
      <c r="P126" s="3"/>
      <c r="Q126" s="3"/>
      <c r="R126" s="3"/>
      <c r="S126" s="3"/>
      <c r="T126" s="3"/>
      <c r="U126" s="3"/>
      <c r="V126" s="3"/>
      <c r="W126" s="3"/>
      <c r="X126" s="3"/>
      <c r="Y126" s="3"/>
      <c r="Z126" s="3"/>
      <c r="AA126" s="3"/>
      <c r="AB126" s="3"/>
    </row>
    <row r="127">
      <c r="A127" s="20"/>
      <c r="B127" s="20"/>
      <c r="C127" s="20"/>
      <c r="D127" s="20"/>
      <c r="E127" s="20"/>
      <c r="F127" s="20"/>
      <c r="G127" s="20"/>
      <c r="H127" s="20"/>
      <c r="I127" s="20"/>
      <c r="J127" s="3"/>
      <c r="K127" s="3"/>
      <c r="L127" s="3"/>
      <c r="M127" s="3"/>
      <c r="N127" s="3"/>
      <c r="O127" s="3"/>
      <c r="P127" s="3"/>
      <c r="Q127" s="3"/>
      <c r="R127" s="3"/>
      <c r="S127" s="3"/>
      <c r="T127" s="3"/>
      <c r="U127" s="3"/>
      <c r="V127" s="3"/>
      <c r="W127" s="3"/>
      <c r="X127" s="3"/>
      <c r="Y127" s="3"/>
      <c r="Z127" s="3"/>
      <c r="AA127" s="3"/>
      <c r="AB127" s="3"/>
    </row>
    <row r="128">
      <c r="A128" s="20"/>
      <c r="B128" s="20"/>
      <c r="C128" s="20"/>
      <c r="D128" s="20"/>
      <c r="E128" s="20"/>
      <c r="F128" s="20"/>
      <c r="G128" s="20"/>
      <c r="H128" s="20"/>
      <c r="I128" s="20"/>
      <c r="J128" s="3"/>
      <c r="K128" s="3"/>
      <c r="L128" s="3"/>
      <c r="M128" s="3"/>
      <c r="N128" s="3"/>
      <c r="O128" s="3"/>
      <c r="P128" s="3"/>
      <c r="Q128" s="3"/>
      <c r="R128" s="3"/>
      <c r="S128" s="3"/>
      <c r="T128" s="3"/>
      <c r="U128" s="3"/>
      <c r="V128" s="3"/>
      <c r="W128" s="3"/>
      <c r="X128" s="3"/>
      <c r="Y128" s="3"/>
      <c r="Z128" s="3"/>
      <c r="AA128" s="3"/>
      <c r="AB128" s="3"/>
    </row>
    <row r="129">
      <c r="A129" s="20"/>
      <c r="B129" s="20"/>
      <c r="C129" s="20"/>
      <c r="D129" s="20"/>
      <c r="E129" s="20"/>
      <c r="F129" s="20"/>
      <c r="G129" s="20"/>
      <c r="H129" s="20"/>
      <c r="I129" s="20"/>
      <c r="J129" s="3"/>
      <c r="K129" s="3"/>
      <c r="L129" s="3"/>
      <c r="M129" s="3"/>
      <c r="N129" s="3"/>
      <c r="O129" s="3"/>
      <c r="P129" s="3"/>
      <c r="Q129" s="3"/>
      <c r="R129" s="3"/>
      <c r="S129" s="3"/>
      <c r="T129" s="3"/>
      <c r="U129" s="3"/>
      <c r="V129" s="3"/>
      <c r="W129" s="3"/>
      <c r="X129" s="3"/>
      <c r="Y129" s="3"/>
      <c r="Z129" s="3"/>
      <c r="AA129" s="3"/>
      <c r="AB129" s="3"/>
    </row>
    <row r="130">
      <c r="A130" s="20"/>
      <c r="B130" s="20"/>
      <c r="C130" s="20"/>
      <c r="D130" s="20"/>
      <c r="E130" s="20"/>
      <c r="F130" s="20"/>
      <c r="G130" s="20"/>
      <c r="H130" s="20"/>
      <c r="I130" s="20"/>
      <c r="J130" s="3"/>
      <c r="K130" s="3"/>
      <c r="L130" s="3"/>
      <c r="M130" s="3"/>
      <c r="N130" s="3"/>
      <c r="O130" s="3"/>
      <c r="P130" s="3"/>
      <c r="Q130" s="3"/>
      <c r="R130" s="3"/>
      <c r="S130" s="3"/>
      <c r="T130" s="3"/>
      <c r="U130" s="3"/>
      <c r="V130" s="3"/>
      <c r="W130" s="3"/>
      <c r="X130" s="3"/>
      <c r="Y130" s="3"/>
      <c r="Z130" s="3"/>
      <c r="AA130" s="3"/>
      <c r="AB130" s="3"/>
    </row>
    <row r="131">
      <c r="A131" s="20"/>
      <c r="B131" s="20"/>
      <c r="C131" s="20"/>
      <c r="D131" s="20"/>
      <c r="E131" s="20"/>
      <c r="F131" s="20"/>
      <c r="G131" s="20"/>
      <c r="H131" s="20"/>
      <c r="I131" s="20"/>
      <c r="J131" s="3"/>
      <c r="K131" s="3"/>
      <c r="L131" s="3"/>
      <c r="M131" s="3"/>
      <c r="N131" s="3"/>
      <c r="O131" s="3"/>
      <c r="P131" s="3"/>
      <c r="Q131" s="3"/>
      <c r="R131" s="3"/>
      <c r="S131" s="3"/>
      <c r="T131" s="3"/>
      <c r="U131" s="3"/>
      <c r="V131" s="3"/>
      <c r="W131" s="3"/>
      <c r="X131" s="3"/>
      <c r="Y131" s="3"/>
      <c r="Z131" s="3"/>
      <c r="AA131" s="3"/>
      <c r="AB131" s="3"/>
    </row>
    <row r="132">
      <c r="A132" s="20"/>
      <c r="B132" s="20"/>
      <c r="C132" s="20"/>
      <c r="D132" s="20"/>
      <c r="E132" s="20"/>
      <c r="F132" s="20"/>
      <c r="G132" s="20"/>
      <c r="H132" s="20"/>
      <c r="I132" s="20"/>
      <c r="J132" s="3"/>
      <c r="K132" s="3"/>
      <c r="L132" s="3"/>
      <c r="M132" s="3"/>
      <c r="N132" s="3"/>
      <c r="O132" s="3"/>
      <c r="P132" s="3"/>
      <c r="Q132" s="3"/>
      <c r="R132" s="3"/>
      <c r="S132" s="3"/>
      <c r="T132" s="3"/>
      <c r="U132" s="3"/>
      <c r="V132" s="3"/>
      <c r="W132" s="3"/>
      <c r="X132" s="3"/>
      <c r="Y132" s="3"/>
      <c r="Z132" s="3"/>
      <c r="AA132" s="3"/>
      <c r="AB132" s="3"/>
    </row>
    <row r="133">
      <c r="A133" s="20"/>
      <c r="B133" s="20"/>
      <c r="C133" s="20"/>
      <c r="D133" s="20"/>
      <c r="E133" s="20"/>
      <c r="F133" s="20"/>
      <c r="G133" s="20"/>
      <c r="H133" s="20"/>
      <c r="I133" s="20"/>
      <c r="J133" s="3"/>
      <c r="K133" s="3"/>
      <c r="L133" s="3"/>
      <c r="M133" s="3"/>
      <c r="N133" s="3"/>
      <c r="O133" s="3"/>
      <c r="P133" s="3"/>
      <c r="Q133" s="3"/>
      <c r="R133" s="3"/>
      <c r="S133" s="3"/>
      <c r="T133" s="3"/>
      <c r="U133" s="3"/>
      <c r="V133" s="3"/>
      <c r="W133" s="3"/>
      <c r="X133" s="3"/>
      <c r="Y133" s="3"/>
      <c r="Z133" s="3"/>
      <c r="AA133" s="3"/>
      <c r="AB133" s="3"/>
    </row>
    <row r="134">
      <c r="A134" s="20"/>
      <c r="B134" s="20"/>
      <c r="C134" s="20"/>
      <c r="D134" s="20"/>
      <c r="E134" s="20"/>
      <c r="F134" s="20"/>
      <c r="G134" s="20"/>
      <c r="H134" s="20"/>
      <c r="I134" s="20"/>
      <c r="J134" s="3"/>
      <c r="K134" s="3"/>
      <c r="L134" s="3"/>
      <c r="M134" s="3"/>
      <c r="N134" s="3"/>
      <c r="O134" s="3"/>
      <c r="P134" s="3"/>
      <c r="Q134" s="3"/>
      <c r="R134" s="3"/>
      <c r="S134" s="3"/>
      <c r="T134" s="3"/>
      <c r="U134" s="3"/>
      <c r="V134" s="3"/>
      <c r="W134" s="3"/>
      <c r="X134" s="3"/>
      <c r="Y134" s="3"/>
      <c r="Z134" s="3"/>
      <c r="AA134" s="3"/>
      <c r="AB134" s="3"/>
    </row>
    <row r="135">
      <c r="A135" s="20"/>
      <c r="B135" s="20"/>
      <c r="C135" s="20"/>
      <c r="D135" s="20"/>
      <c r="E135" s="20"/>
      <c r="F135" s="20"/>
      <c r="G135" s="20"/>
      <c r="H135" s="20"/>
      <c r="I135" s="20"/>
      <c r="J135" s="3"/>
      <c r="K135" s="3"/>
      <c r="L135" s="3"/>
      <c r="M135" s="3"/>
      <c r="N135" s="3"/>
      <c r="O135" s="3"/>
      <c r="P135" s="3"/>
      <c r="Q135" s="3"/>
      <c r="R135" s="3"/>
      <c r="S135" s="3"/>
      <c r="T135" s="3"/>
      <c r="U135" s="3"/>
      <c r="V135" s="3"/>
      <c r="W135" s="3"/>
      <c r="X135" s="3"/>
      <c r="Y135" s="3"/>
      <c r="Z135" s="3"/>
      <c r="AA135" s="3"/>
      <c r="AB135" s="3"/>
    </row>
    <row r="136">
      <c r="A136" s="20"/>
      <c r="B136" s="20"/>
      <c r="C136" s="20"/>
      <c r="D136" s="20"/>
      <c r="E136" s="20"/>
      <c r="F136" s="20"/>
      <c r="G136" s="20"/>
      <c r="H136" s="20"/>
      <c r="I136" s="20"/>
      <c r="J136" s="3"/>
      <c r="K136" s="3"/>
      <c r="L136" s="3"/>
      <c r="M136" s="3"/>
      <c r="N136" s="3"/>
      <c r="O136" s="3"/>
      <c r="P136" s="3"/>
      <c r="Q136" s="3"/>
      <c r="R136" s="3"/>
      <c r="S136" s="3"/>
      <c r="T136" s="3"/>
      <c r="U136" s="3"/>
      <c r="V136" s="3"/>
      <c r="W136" s="3"/>
      <c r="X136" s="3"/>
      <c r="Y136" s="3"/>
      <c r="Z136" s="3"/>
      <c r="AA136" s="3"/>
      <c r="AB136" s="3"/>
    </row>
    <row r="137">
      <c r="A137" s="20"/>
      <c r="B137" s="20"/>
      <c r="C137" s="20"/>
      <c r="D137" s="20"/>
      <c r="E137" s="20"/>
      <c r="F137" s="20"/>
      <c r="G137" s="20"/>
      <c r="H137" s="20"/>
      <c r="I137" s="20"/>
      <c r="J137" s="3"/>
      <c r="K137" s="3"/>
      <c r="L137" s="3"/>
      <c r="M137" s="3"/>
      <c r="N137" s="3"/>
      <c r="O137" s="3"/>
      <c r="P137" s="3"/>
      <c r="Q137" s="3"/>
      <c r="R137" s="3"/>
      <c r="S137" s="3"/>
      <c r="T137" s="3"/>
      <c r="U137" s="3"/>
      <c r="V137" s="3"/>
      <c r="W137" s="3"/>
      <c r="X137" s="3"/>
      <c r="Y137" s="3"/>
      <c r="Z137" s="3"/>
      <c r="AA137" s="3"/>
      <c r="AB137" s="3"/>
    </row>
    <row r="138">
      <c r="A138" s="20"/>
      <c r="B138" s="20"/>
      <c r="C138" s="20"/>
      <c r="D138" s="20"/>
      <c r="E138" s="20"/>
      <c r="F138" s="20"/>
      <c r="G138" s="20"/>
      <c r="H138" s="20"/>
      <c r="I138" s="20"/>
      <c r="J138" s="3"/>
      <c r="K138" s="3"/>
      <c r="L138" s="3"/>
      <c r="M138" s="3"/>
      <c r="N138" s="3"/>
      <c r="O138" s="3"/>
      <c r="P138" s="3"/>
      <c r="Q138" s="3"/>
      <c r="R138" s="3"/>
      <c r="S138" s="3"/>
      <c r="T138" s="3"/>
      <c r="U138" s="3"/>
      <c r="V138" s="3"/>
      <c r="W138" s="3"/>
      <c r="X138" s="3"/>
      <c r="Y138" s="3"/>
      <c r="Z138" s="3"/>
      <c r="AA138" s="3"/>
      <c r="AB138" s="3"/>
    </row>
    <row r="139">
      <c r="A139" s="20"/>
      <c r="B139" s="20"/>
      <c r="C139" s="20"/>
      <c r="D139" s="20"/>
      <c r="E139" s="20"/>
      <c r="F139" s="20"/>
      <c r="G139" s="20"/>
      <c r="H139" s="20"/>
      <c r="I139" s="20"/>
      <c r="J139" s="3"/>
      <c r="K139" s="3"/>
      <c r="L139" s="3"/>
      <c r="M139" s="3"/>
      <c r="N139" s="3"/>
      <c r="O139" s="3"/>
      <c r="P139" s="3"/>
      <c r="Q139" s="3"/>
      <c r="R139" s="3"/>
      <c r="S139" s="3"/>
      <c r="T139" s="3"/>
      <c r="U139" s="3"/>
      <c r="V139" s="3"/>
      <c r="W139" s="3"/>
      <c r="X139" s="3"/>
      <c r="Y139" s="3"/>
      <c r="Z139" s="3"/>
      <c r="AA139" s="3"/>
      <c r="AB139" s="3"/>
    </row>
    <row r="140">
      <c r="A140" s="20"/>
      <c r="B140" s="20"/>
      <c r="C140" s="20"/>
      <c r="D140" s="20"/>
      <c r="E140" s="20"/>
      <c r="F140" s="20"/>
      <c r="G140" s="20"/>
      <c r="H140" s="20"/>
      <c r="I140" s="20"/>
      <c r="J140" s="3"/>
      <c r="K140" s="3"/>
      <c r="L140" s="3"/>
      <c r="M140" s="3"/>
      <c r="N140" s="3"/>
      <c r="O140" s="3"/>
      <c r="P140" s="3"/>
      <c r="Q140" s="3"/>
      <c r="R140" s="3"/>
      <c r="S140" s="3"/>
      <c r="T140" s="3"/>
      <c r="U140" s="3"/>
      <c r="V140" s="3"/>
      <c r="W140" s="3"/>
      <c r="X140" s="3"/>
      <c r="Y140" s="3"/>
      <c r="Z140" s="3"/>
      <c r="AA140" s="3"/>
      <c r="AB140" s="3"/>
    </row>
  </sheetData>
  <mergeCells count="31">
    <mergeCell ref="B1:I1"/>
    <mergeCell ref="B2:I2"/>
    <mergeCell ref="B3:I3"/>
    <mergeCell ref="C4:E4"/>
    <mergeCell ref="F4:I4"/>
    <mergeCell ref="C5:E10"/>
    <mergeCell ref="F5:I10"/>
    <mergeCell ref="E18:E19"/>
    <mergeCell ref="F18:F19"/>
    <mergeCell ref="G18:G19"/>
    <mergeCell ref="H18:H19"/>
    <mergeCell ref="B13:I13"/>
    <mergeCell ref="B14:B17"/>
    <mergeCell ref="I14:I17"/>
    <mergeCell ref="A18:A19"/>
    <mergeCell ref="C18:C19"/>
    <mergeCell ref="D18:D19"/>
    <mergeCell ref="I18:I19"/>
    <mergeCell ref="H30:H31"/>
    <mergeCell ref="I30:I31"/>
    <mergeCell ref="I34:I35"/>
    <mergeCell ref="B32:B35"/>
    <mergeCell ref="B36:B39"/>
    <mergeCell ref="B40:B46"/>
    <mergeCell ref="B18:B27"/>
    <mergeCell ref="B28:B31"/>
    <mergeCell ref="A30:A31"/>
    <mergeCell ref="D30:D31"/>
    <mergeCell ref="E30:E31"/>
    <mergeCell ref="F30:F31"/>
    <mergeCell ref="G30:G31"/>
  </mergeCells>
  <dataValidations>
    <dataValidation type="list" allowBlank="1" showErrorMessage="1" sqref="G14:G18 G20:G30 G32:G140">
      <formula1>'EXM-ST'!$A$6:$A$8</formula1>
    </dataValidation>
    <dataValidation type="list" allowBlank="1" showErrorMessage="1" sqref="C14:C18 C20:C46">
      <formula1>"Positive,Negative,UI/UX"</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830</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831</v>
      </c>
      <c r="C3" s="9"/>
      <c r="D3" s="9"/>
      <c r="E3" s="9"/>
      <c r="F3" s="9"/>
      <c r="G3" s="9"/>
      <c r="H3" s="9"/>
      <c r="I3" s="10"/>
      <c r="J3" s="3"/>
      <c r="K3" s="3"/>
      <c r="L3" s="3"/>
      <c r="M3" s="3"/>
      <c r="N3" s="3"/>
      <c r="O3" s="3"/>
      <c r="P3" s="3"/>
      <c r="Q3" s="3"/>
      <c r="R3" s="3"/>
      <c r="S3" s="3"/>
      <c r="T3" s="3"/>
      <c r="U3" s="3"/>
      <c r="V3" s="3"/>
      <c r="W3" s="3"/>
      <c r="X3" s="3"/>
      <c r="Y3" s="3"/>
      <c r="Z3" s="3"/>
      <c r="AA3" s="3"/>
      <c r="AB3" s="3"/>
    </row>
    <row r="4" ht="30.0" customHeight="1">
      <c r="A4" s="6" t="s">
        <v>2</v>
      </c>
      <c r="B4" s="7">
        <f>COUNTA(D13:D138)</f>
        <v>31</v>
      </c>
      <c r="C4" s="8" t="s">
        <v>10</v>
      </c>
      <c r="D4" s="9"/>
      <c r="E4" s="10"/>
      <c r="F4" s="8" t="s">
        <v>3</v>
      </c>
      <c r="G4" s="9"/>
      <c r="H4" s="9"/>
      <c r="I4" s="10"/>
      <c r="J4" s="3"/>
      <c r="K4" s="3"/>
      <c r="L4" s="3"/>
      <c r="M4" s="3"/>
      <c r="N4" s="3"/>
      <c r="O4" s="3"/>
      <c r="P4" s="3"/>
      <c r="Q4" s="3"/>
      <c r="R4" s="3"/>
      <c r="S4" s="3"/>
      <c r="T4" s="3"/>
      <c r="U4" s="3"/>
      <c r="V4" s="3"/>
      <c r="W4" s="3"/>
      <c r="X4" s="3"/>
      <c r="Y4" s="3"/>
      <c r="Z4" s="3"/>
      <c r="AA4" s="3"/>
      <c r="AB4" s="3"/>
    </row>
    <row r="5" ht="30.0" customHeight="1">
      <c r="A5" s="6" t="s">
        <v>4</v>
      </c>
      <c r="B5" s="7">
        <f>COUNTIFS(D13:D138, "&lt;&gt;", G13:G138, "&lt;&gt;Pending") </f>
        <v>29</v>
      </c>
      <c r="C5" s="11" t="s">
        <v>993</v>
      </c>
      <c r="D5" s="12"/>
      <c r="E5" s="13"/>
      <c r="F5" s="11" t="s">
        <v>994</v>
      </c>
      <c r="G5" s="12"/>
      <c r="H5" s="12"/>
      <c r="I5" s="13"/>
      <c r="J5" s="3"/>
      <c r="K5" s="3"/>
      <c r="L5" s="3"/>
      <c r="M5" s="3"/>
      <c r="N5" s="3"/>
      <c r="O5" s="3"/>
      <c r="P5" s="3"/>
      <c r="Q5" s="3"/>
      <c r="R5" s="3"/>
      <c r="S5" s="3"/>
      <c r="T5" s="3"/>
      <c r="U5" s="3"/>
      <c r="V5" s="3"/>
      <c r="W5" s="3"/>
      <c r="X5" s="3"/>
      <c r="Y5" s="3"/>
      <c r="Z5" s="3"/>
      <c r="AA5" s="3"/>
      <c r="AB5" s="3"/>
    </row>
    <row r="6" ht="30.0" customHeight="1">
      <c r="A6" s="6" t="s">
        <v>6</v>
      </c>
      <c r="B6" s="7">
        <f>B4-B5</f>
        <v>2</v>
      </c>
      <c r="C6" s="14"/>
      <c r="E6" s="15"/>
      <c r="F6" s="14"/>
      <c r="I6" s="15"/>
      <c r="J6" s="3"/>
      <c r="K6" s="3"/>
      <c r="L6" s="3"/>
      <c r="M6" s="3"/>
      <c r="N6" s="3"/>
      <c r="O6" s="3"/>
      <c r="P6" s="3"/>
      <c r="Q6" s="3"/>
      <c r="R6" s="3"/>
      <c r="S6" s="3"/>
      <c r="T6" s="3"/>
      <c r="U6" s="3"/>
      <c r="V6" s="3"/>
      <c r="W6" s="3"/>
      <c r="X6" s="3"/>
      <c r="Y6" s="3"/>
      <c r="Z6" s="3"/>
      <c r="AA6" s="3"/>
      <c r="AB6" s="3"/>
    </row>
    <row r="7" ht="30.0" customHeight="1">
      <c r="A7" s="6" t="s">
        <v>7</v>
      </c>
      <c r="B7" s="7">
        <f t="shared" ref="B7:B8" si="1">COUNTIF($G$13:$G138,A7)</f>
        <v>14</v>
      </c>
      <c r="C7" s="14"/>
      <c r="E7" s="15"/>
      <c r="F7" s="14"/>
      <c r="I7" s="15"/>
      <c r="J7" s="3"/>
      <c r="K7" s="3"/>
      <c r="L7" s="3"/>
      <c r="M7" s="3"/>
      <c r="N7" s="3"/>
      <c r="O7" s="3"/>
      <c r="P7" s="3"/>
      <c r="Q7" s="3"/>
      <c r="R7" s="3"/>
      <c r="S7" s="3"/>
      <c r="T7" s="3"/>
      <c r="U7" s="3"/>
      <c r="V7" s="3"/>
      <c r="W7" s="3"/>
      <c r="X7" s="3"/>
      <c r="Y7" s="3"/>
      <c r="Z7" s="3"/>
      <c r="AA7" s="3"/>
      <c r="AB7" s="3"/>
    </row>
    <row r="8" ht="30.0" customHeight="1">
      <c r="A8" s="6" t="s">
        <v>8</v>
      </c>
      <c r="B8" s="7">
        <f t="shared" si="1"/>
        <v>15</v>
      </c>
      <c r="C8" s="14"/>
      <c r="E8" s="15"/>
      <c r="F8" s="14"/>
      <c r="I8" s="15"/>
      <c r="J8" s="3"/>
      <c r="K8" s="3"/>
      <c r="L8" s="3"/>
      <c r="M8" s="3"/>
      <c r="N8" s="3"/>
      <c r="O8" s="3"/>
      <c r="P8" s="3"/>
      <c r="Q8" s="3"/>
      <c r="R8" s="3"/>
      <c r="S8" s="3"/>
      <c r="T8" s="3"/>
      <c r="U8" s="3"/>
      <c r="V8" s="3"/>
      <c r="W8" s="3"/>
      <c r="X8" s="3"/>
      <c r="Y8" s="3"/>
      <c r="Z8" s="3"/>
      <c r="AA8" s="3"/>
      <c r="AB8" s="3"/>
    </row>
    <row r="9" ht="30.0" customHeight="1">
      <c r="A9" s="6" t="s">
        <v>184</v>
      </c>
      <c r="B9" s="23">
        <f>B7/B4</f>
        <v>0.4516129032</v>
      </c>
      <c r="C9" s="14"/>
      <c r="E9" s="15"/>
      <c r="F9" s="14"/>
      <c r="I9" s="15"/>
      <c r="J9" s="3"/>
      <c r="K9" s="3"/>
      <c r="L9" s="3"/>
      <c r="M9" s="3"/>
      <c r="N9" s="3"/>
      <c r="O9" s="3"/>
      <c r="P9" s="3"/>
      <c r="Q9" s="3"/>
      <c r="R9" s="3"/>
      <c r="S9" s="3"/>
      <c r="T9" s="3"/>
      <c r="U9" s="3"/>
      <c r="V9" s="3"/>
      <c r="W9" s="3"/>
      <c r="X9" s="3"/>
      <c r="Y9" s="3"/>
      <c r="Z9" s="3"/>
      <c r="AA9" s="3"/>
      <c r="AB9" s="3"/>
    </row>
    <row r="10" ht="147.0" customHeight="1">
      <c r="A10" s="6" t="s">
        <v>9</v>
      </c>
      <c r="B10" s="7">
        <f>SUM(H13:H138)</f>
        <v>15</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52" t="s">
        <v>55</v>
      </c>
      <c r="B13" s="53" t="s">
        <v>995</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996</v>
      </c>
      <c r="B14" s="55" t="s">
        <v>997</v>
      </c>
      <c r="C14" s="19" t="s">
        <v>600</v>
      </c>
      <c r="D14" s="19" t="s">
        <v>998</v>
      </c>
      <c r="E14" s="19" t="s">
        <v>999</v>
      </c>
      <c r="F14" s="19" t="s">
        <v>1000</v>
      </c>
      <c r="G14" s="19" t="s">
        <v>8</v>
      </c>
      <c r="H14" s="19">
        <v>1.0</v>
      </c>
      <c r="I14" s="55" t="s">
        <v>1001</v>
      </c>
      <c r="J14" s="3"/>
      <c r="K14" s="3"/>
      <c r="L14" s="3"/>
      <c r="M14" s="3"/>
      <c r="N14" s="3"/>
      <c r="O14" s="3"/>
      <c r="P14" s="3"/>
      <c r="Q14" s="3"/>
      <c r="R14" s="3"/>
      <c r="S14" s="3"/>
      <c r="T14" s="3"/>
      <c r="U14" s="3"/>
      <c r="V14" s="3"/>
      <c r="W14" s="3"/>
      <c r="X14" s="3"/>
      <c r="Y14" s="3"/>
      <c r="Z14" s="3"/>
      <c r="AA14" s="3"/>
      <c r="AB14" s="3"/>
    </row>
    <row r="15">
      <c r="A15" s="19" t="s">
        <v>1002</v>
      </c>
      <c r="B15" s="56"/>
      <c r="C15" s="19" t="s">
        <v>600</v>
      </c>
      <c r="D15" s="19" t="s">
        <v>1003</v>
      </c>
      <c r="E15" s="19" t="s">
        <v>1004</v>
      </c>
      <c r="F15" s="19" t="s">
        <v>859</v>
      </c>
      <c r="G15" s="19" t="s">
        <v>8</v>
      </c>
      <c r="H15" s="19">
        <v>1.0</v>
      </c>
      <c r="I15" s="56"/>
      <c r="J15" s="3"/>
      <c r="K15" s="3"/>
      <c r="L15" s="3"/>
      <c r="M15" s="3"/>
      <c r="N15" s="3"/>
      <c r="O15" s="3"/>
      <c r="P15" s="3"/>
      <c r="Q15" s="3"/>
      <c r="R15" s="3"/>
      <c r="S15" s="3"/>
      <c r="T15" s="3"/>
      <c r="U15" s="3"/>
      <c r="V15" s="3"/>
      <c r="W15" s="3"/>
      <c r="X15" s="3"/>
      <c r="Y15" s="3"/>
      <c r="Z15" s="3"/>
      <c r="AA15" s="3"/>
      <c r="AB15" s="3"/>
    </row>
    <row r="16">
      <c r="A16" s="19" t="s">
        <v>1005</v>
      </c>
      <c r="B16" s="56"/>
      <c r="C16" s="19" t="s">
        <v>201</v>
      </c>
      <c r="D16" s="19" t="s">
        <v>1006</v>
      </c>
      <c r="E16" s="19" t="s">
        <v>1007</v>
      </c>
      <c r="F16" s="19" t="s">
        <v>1008</v>
      </c>
      <c r="G16" s="19" t="s">
        <v>8</v>
      </c>
      <c r="H16" s="19">
        <v>1.0</v>
      </c>
      <c r="I16" s="56"/>
      <c r="J16" s="3"/>
      <c r="K16" s="3"/>
      <c r="L16" s="3"/>
      <c r="M16" s="3"/>
      <c r="N16" s="3"/>
      <c r="O16" s="3"/>
      <c r="P16" s="3"/>
      <c r="Q16" s="3"/>
      <c r="R16" s="3"/>
      <c r="S16" s="3"/>
      <c r="T16" s="3"/>
      <c r="U16" s="3"/>
      <c r="V16" s="3"/>
      <c r="W16" s="3"/>
      <c r="X16" s="3"/>
      <c r="Y16" s="3"/>
      <c r="Z16" s="3"/>
      <c r="AA16" s="3"/>
      <c r="AB16" s="3"/>
    </row>
    <row r="17">
      <c r="A17" s="19" t="s">
        <v>1009</v>
      </c>
      <c r="B17" s="56"/>
      <c r="C17" s="19" t="s">
        <v>195</v>
      </c>
      <c r="D17" s="19" t="s">
        <v>1010</v>
      </c>
      <c r="E17" s="19" t="s">
        <v>1011</v>
      </c>
      <c r="F17" s="19" t="s">
        <v>1012</v>
      </c>
      <c r="G17" s="19" t="s">
        <v>8</v>
      </c>
      <c r="H17" s="19">
        <v>1.0</v>
      </c>
      <c r="I17" s="56"/>
      <c r="J17" s="3"/>
      <c r="K17" s="3"/>
      <c r="L17" s="3"/>
      <c r="M17" s="3"/>
      <c r="N17" s="3"/>
      <c r="O17" s="3"/>
      <c r="P17" s="3"/>
      <c r="Q17" s="3"/>
      <c r="R17" s="3"/>
      <c r="S17" s="3"/>
      <c r="T17" s="3"/>
      <c r="U17" s="3"/>
      <c r="V17" s="3"/>
      <c r="W17" s="3"/>
      <c r="X17" s="3"/>
      <c r="Y17" s="3"/>
      <c r="Z17" s="3"/>
      <c r="AA17" s="3"/>
      <c r="AB17" s="3"/>
    </row>
    <row r="18">
      <c r="A18" s="19" t="s">
        <v>1013</v>
      </c>
      <c r="B18" s="57"/>
      <c r="C18" s="19" t="s">
        <v>201</v>
      </c>
      <c r="D18" s="19" t="s">
        <v>1014</v>
      </c>
      <c r="E18" s="19" t="s">
        <v>1015</v>
      </c>
      <c r="F18" s="19" t="s">
        <v>1016</v>
      </c>
      <c r="G18" s="19" t="s">
        <v>8</v>
      </c>
      <c r="H18" s="19">
        <v>1.0</v>
      </c>
      <c r="I18" s="57"/>
      <c r="J18" s="3"/>
      <c r="K18" s="3"/>
      <c r="L18" s="3"/>
      <c r="M18" s="3"/>
      <c r="N18" s="3"/>
      <c r="O18" s="3"/>
      <c r="P18" s="3"/>
      <c r="Q18" s="3"/>
      <c r="R18" s="3"/>
      <c r="S18" s="3"/>
      <c r="T18" s="3"/>
      <c r="U18" s="3"/>
      <c r="V18" s="3"/>
      <c r="W18" s="3"/>
      <c r="X18" s="3"/>
      <c r="Y18" s="3"/>
      <c r="Z18" s="3"/>
      <c r="AA18" s="3"/>
      <c r="AB18" s="3"/>
    </row>
    <row r="19">
      <c r="A19" s="19" t="s">
        <v>1017</v>
      </c>
      <c r="B19" s="55" t="s">
        <v>1018</v>
      </c>
      <c r="C19" s="19" t="s">
        <v>195</v>
      </c>
      <c r="D19" s="19" t="s">
        <v>1019</v>
      </c>
      <c r="E19" s="19" t="s">
        <v>1020</v>
      </c>
      <c r="F19" s="19" t="s">
        <v>1021</v>
      </c>
      <c r="G19" s="19" t="s">
        <v>7</v>
      </c>
      <c r="H19" s="19"/>
      <c r="I19" s="20"/>
      <c r="J19" s="3"/>
      <c r="K19" s="3"/>
      <c r="L19" s="3"/>
      <c r="M19" s="3"/>
      <c r="N19" s="3"/>
      <c r="O19" s="3"/>
      <c r="P19" s="3"/>
      <c r="Q19" s="3"/>
      <c r="R19" s="3"/>
      <c r="S19" s="3"/>
      <c r="T19" s="3"/>
      <c r="U19" s="3"/>
      <c r="V19" s="3"/>
      <c r="W19" s="3"/>
      <c r="X19" s="3"/>
      <c r="Y19" s="3"/>
      <c r="Z19" s="3"/>
      <c r="AA19" s="3"/>
      <c r="AB19" s="3"/>
    </row>
    <row r="20">
      <c r="A20" s="19" t="s">
        <v>1022</v>
      </c>
      <c r="B20" s="56"/>
      <c r="C20" s="19" t="s">
        <v>195</v>
      </c>
      <c r="D20" s="19" t="s">
        <v>1023</v>
      </c>
      <c r="E20" s="19" t="s">
        <v>1024</v>
      </c>
      <c r="F20" s="19" t="s">
        <v>859</v>
      </c>
      <c r="G20" s="19" t="s">
        <v>7</v>
      </c>
      <c r="H20" s="20"/>
      <c r="I20" s="20"/>
      <c r="J20" s="3"/>
      <c r="K20" s="3"/>
      <c r="L20" s="3"/>
      <c r="M20" s="3"/>
      <c r="N20" s="3"/>
      <c r="O20" s="3"/>
      <c r="P20" s="3"/>
      <c r="Q20" s="3"/>
      <c r="R20" s="3"/>
      <c r="S20" s="3"/>
      <c r="T20" s="3"/>
      <c r="U20" s="3"/>
      <c r="V20" s="3"/>
      <c r="W20" s="3"/>
      <c r="X20" s="3"/>
      <c r="Y20" s="3"/>
      <c r="Z20" s="3"/>
      <c r="AA20" s="3"/>
      <c r="AB20" s="3"/>
    </row>
    <row r="21">
      <c r="A21" s="19" t="s">
        <v>1025</v>
      </c>
      <c r="B21" s="56"/>
      <c r="C21" s="19" t="s">
        <v>201</v>
      </c>
      <c r="D21" s="19" t="s">
        <v>1026</v>
      </c>
      <c r="E21" s="19" t="s">
        <v>1027</v>
      </c>
      <c r="F21" s="19" t="s">
        <v>1028</v>
      </c>
      <c r="G21" s="19" t="s">
        <v>8</v>
      </c>
      <c r="H21" s="19">
        <v>1.0</v>
      </c>
      <c r="I21" s="19" t="s">
        <v>1029</v>
      </c>
      <c r="J21" s="3"/>
      <c r="K21" s="3"/>
      <c r="L21" s="3"/>
      <c r="M21" s="3"/>
      <c r="N21" s="3"/>
      <c r="O21" s="3"/>
      <c r="P21" s="3"/>
      <c r="Q21" s="3"/>
      <c r="R21" s="3"/>
      <c r="S21" s="3"/>
      <c r="T21" s="3"/>
      <c r="U21" s="3"/>
      <c r="V21" s="3"/>
      <c r="W21" s="3"/>
      <c r="X21" s="3"/>
      <c r="Y21" s="3"/>
      <c r="Z21" s="3"/>
      <c r="AA21" s="3"/>
      <c r="AB21" s="3"/>
    </row>
    <row r="22">
      <c r="A22" s="19" t="s">
        <v>1030</v>
      </c>
      <c r="B22" s="57"/>
      <c r="C22" s="19" t="s">
        <v>195</v>
      </c>
      <c r="D22" s="19" t="s">
        <v>1031</v>
      </c>
      <c r="E22" s="19" t="s">
        <v>1032</v>
      </c>
      <c r="F22" s="19" t="s">
        <v>1033</v>
      </c>
      <c r="G22" s="19" t="s">
        <v>7</v>
      </c>
      <c r="H22" s="20"/>
      <c r="I22" s="20"/>
      <c r="J22" s="3"/>
      <c r="K22" s="3"/>
      <c r="L22" s="3"/>
      <c r="M22" s="3"/>
      <c r="N22" s="3"/>
      <c r="O22" s="3"/>
      <c r="P22" s="3"/>
      <c r="Q22" s="3"/>
      <c r="R22" s="3"/>
      <c r="S22" s="3"/>
      <c r="T22" s="3"/>
      <c r="U22" s="3"/>
      <c r="V22" s="3"/>
      <c r="W22" s="3"/>
      <c r="X22" s="3"/>
      <c r="Y22" s="3"/>
      <c r="Z22" s="3"/>
      <c r="AA22" s="3"/>
      <c r="AB22" s="3"/>
    </row>
    <row r="23">
      <c r="A23" s="19" t="s">
        <v>1034</v>
      </c>
      <c r="B23" s="55" t="s">
        <v>1035</v>
      </c>
      <c r="C23" s="19" t="s">
        <v>195</v>
      </c>
      <c r="D23" s="19" t="s">
        <v>1036</v>
      </c>
      <c r="E23" s="19" t="s">
        <v>1037</v>
      </c>
      <c r="F23" s="19" t="s">
        <v>1038</v>
      </c>
      <c r="G23" s="19" t="s">
        <v>7</v>
      </c>
      <c r="H23" s="20"/>
      <c r="I23" s="20"/>
      <c r="J23" s="3"/>
      <c r="K23" s="3"/>
      <c r="L23" s="3"/>
      <c r="M23" s="3"/>
      <c r="N23" s="3"/>
      <c r="O23" s="3"/>
      <c r="P23" s="3"/>
      <c r="Q23" s="3"/>
      <c r="R23" s="3"/>
      <c r="S23" s="3"/>
      <c r="T23" s="3"/>
      <c r="U23" s="3"/>
      <c r="V23" s="3"/>
      <c r="W23" s="3"/>
      <c r="X23" s="3"/>
      <c r="Y23" s="3"/>
      <c r="Z23" s="3"/>
      <c r="AA23" s="3"/>
      <c r="AB23" s="3"/>
    </row>
    <row r="24">
      <c r="A24" s="19" t="s">
        <v>1039</v>
      </c>
      <c r="B24" s="56"/>
      <c r="C24" s="19" t="s">
        <v>195</v>
      </c>
      <c r="D24" s="19" t="s">
        <v>1040</v>
      </c>
      <c r="E24" s="19" t="s">
        <v>1041</v>
      </c>
      <c r="F24" s="19" t="s">
        <v>1042</v>
      </c>
      <c r="G24" s="19" t="s">
        <v>7</v>
      </c>
      <c r="H24" s="20"/>
      <c r="I24" s="20"/>
      <c r="J24" s="3"/>
      <c r="K24" s="3"/>
      <c r="L24" s="3"/>
      <c r="M24" s="3"/>
      <c r="N24" s="3"/>
      <c r="O24" s="3"/>
      <c r="P24" s="3"/>
      <c r="Q24" s="3"/>
      <c r="R24" s="3"/>
      <c r="S24" s="3"/>
      <c r="T24" s="3"/>
      <c r="U24" s="3"/>
      <c r="V24" s="3"/>
      <c r="W24" s="3"/>
      <c r="X24" s="3"/>
      <c r="Y24" s="3"/>
      <c r="Z24" s="3"/>
      <c r="AA24" s="3"/>
      <c r="AB24" s="3"/>
    </row>
    <row r="25">
      <c r="A25" s="19" t="s">
        <v>1043</v>
      </c>
      <c r="B25" s="56"/>
      <c r="C25" s="19" t="s">
        <v>201</v>
      </c>
      <c r="D25" s="19" t="s">
        <v>1044</v>
      </c>
      <c r="E25" s="19" t="s">
        <v>1045</v>
      </c>
      <c r="F25" s="19" t="s">
        <v>898</v>
      </c>
      <c r="G25" s="19" t="s">
        <v>7</v>
      </c>
      <c r="H25" s="20"/>
      <c r="I25" s="20"/>
      <c r="J25" s="3"/>
      <c r="K25" s="3"/>
      <c r="L25" s="3"/>
      <c r="M25" s="3"/>
      <c r="N25" s="3"/>
      <c r="O25" s="3"/>
      <c r="P25" s="3"/>
      <c r="Q25" s="3"/>
      <c r="R25" s="3"/>
      <c r="S25" s="3"/>
      <c r="T25" s="3"/>
      <c r="U25" s="3"/>
      <c r="V25" s="3"/>
      <c r="W25" s="3"/>
      <c r="X25" s="3"/>
      <c r="Y25" s="3"/>
      <c r="Z25" s="3"/>
      <c r="AA25" s="3"/>
      <c r="AB25" s="3"/>
    </row>
    <row r="26">
      <c r="A26" s="19" t="s">
        <v>1046</v>
      </c>
      <c r="B26" s="57"/>
      <c r="C26" s="19" t="s">
        <v>195</v>
      </c>
      <c r="D26" s="19" t="s">
        <v>1047</v>
      </c>
      <c r="E26" s="19" t="s">
        <v>1048</v>
      </c>
      <c r="F26" s="19" t="s">
        <v>1049</v>
      </c>
      <c r="G26" s="19" t="s">
        <v>7</v>
      </c>
      <c r="H26" s="20"/>
      <c r="I26" s="19"/>
      <c r="J26" s="3"/>
      <c r="K26" s="3"/>
      <c r="L26" s="3"/>
      <c r="M26" s="3"/>
      <c r="N26" s="3"/>
      <c r="O26" s="3"/>
      <c r="P26" s="3"/>
      <c r="Q26" s="3"/>
      <c r="R26" s="3"/>
      <c r="S26" s="3"/>
      <c r="T26" s="3"/>
      <c r="U26" s="3"/>
      <c r="V26" s="3"/>
      <c r="W26" s="3"/>
      <c r="X26" s="3"/>
      <c r="Y26" s="3"/>
      <c r="Z26" s="3"/>
      <c r="AA26" s="3"/>
      <c r="AB26" s="3"/>
    </row>
    <row r="27">
      <c r="A27" s="19" t="s">
        <v>1050</v>
      </c>
      <c r="B27" s="55" t="s">
        <v>1051</v>
      </c>
      <c r="C27" s="19" t="s">
        <v>195</v>
      </c>
      <c r="D27" s="19" t="s">
        <v>1052</v>
      </c>
      <c r="E27" s="19" t="s">
        <v>1053</v>
      </c>
      <c r="F27" s="19" t="s">
        <v>1054</v>
      </c>
      <c r="G27" s="19" t="s">
        <v>7</v>
      </c>
      <c r="H27" s="20"/>
      <c r="I27" s="20"/>
      <c r="J27" s="3"/>
      <c r="K27" s="3"/>
      <c r="L27" s="3"/>
      <c r="M27" s="3"/>
      <c r="N27" s="3"/>
      <c r="O27" s="3"/>
      <c r="P27" s="3"/>
      <c r="Q27" s="3"/>
      <c r="R27" s="3"/>
      <c r="S27" s="3"/>
      <c r="T27" s="3"/>
      <c r="U27" s="3"/>
      <c r="V27" s="3"/>
      <c r="W27" s="3"/>
      <c r="X27" s="3"/>
      <c r="Y27" s="3"/>
      <c r="Z27" s="3"/>
      <c r="AA27" s="3"/>
      <c r="AB27" s="3"/>
    </row>
    <row r="28">
      <c r="A28" s="19" t="s">
        <v>1055</v>
      </c>
      <c r="B28" s="56"/>
      <c r="C28" s="19" t="s">
        <v>195</v>
      </c>
      <c r="D28" s="19" t="s">
        <v>1056</v>
      </c>
      <c r="E28" s="19" t="s">
        <v>1057</v>
      </c>
      <c r="F28" s="19" t="s">
        <v>1058</v>
      </c>
      <c r="G28" s="19" t="s">
        <v>7</v>
      </c>
      <c r="H28" s="20"/>
      <c r="I28" s="20"/>
      <c r="J28" s="3"/>
      <c r="K28" s="3"/>
      <c r="L28" s="3"/>
      <c r="M28" s="3"/>
      <c r="N28" s="3"/>
      <c r="O28" s="3"/>
      <c r="P28" s="3"/>
      <c r="Q28" s="3"/>
      <c r="R28" s="3"/>
      <c r="S28" s="3"/>
      <c r="T28" s="3"/>
      <c r="U28" s="3"/>
      <c r="V28" s="3"/>
      <c r="W28" s="3"/>
      <c r="X28" s="3"/>
      <c r="Y28" s="3"/>
      <c r="Z28" s="3"/>
      <c r="AA28" s="3"/>
      <c r="AB28" s="3"/>
    </row>
    <row r="29">
      <c r="A29" s="19" t="s">
        <v>1059</v>
      </c>
      <c r="B29" s="56"/>
      <c r="C29" s="19" t="s">
        <v>195</v>
      </c>
      <c r="D29" s="19" t="s">
        <v>1060</v>
      </c>
      <c r="E29" s="19" t="s">
        <v>1061</v>
      </c>
      <c r="F29" s="19" t="s">
        <v>1062</v>
      </c>
      <c r="G29" s="19" t="s">
        <v>7</v>
      </c>
      <c r="H29" s="20"/>
      <c r="I29" s="20"/>
      <c r="J29" s="3"/>
      <c r="K29" s="3"/>
      <c r="L29" s="3"/>
      <c r="M29" s="3"/>
      <c r="N29" s="3"/>
      <c r="O29" s="3"/>
      <c r="P29" s="3"/>
      <c r="Q29" s="3"/>
      <c r="R29" s="3"/>
      <c r="S29" s="3"/>
      <c r="T29" s="3"/>
      <c r="U29" s="3"/>
      <c r="V29" s="3"/>
      <c r="W29" s="3"/>
      <c r="X29" s="3"/>
      <c r="Y29" s="3"/>
      <c r="Z29" s="3"/>
      <c r="AA29" s="3"/>
      <c r="AB29" s="3"/>
    </row>
    <row r="30">
      <c r="A30" s="19" t="s">
        <v>1063</v>
      </c>
      <c r="B30" s="57"/>
      <c r="C30" s="19" t="s">
        <v>195</v>
      </c>
      <c r="D30" s="19" t="s">
        <v>1064</v>
      </c>
      <c r="E30" s="19" t="s">
        <v>1065</v>
      </c>
      <c r="F30" s="19" t="s">
        <v>916</v>
      </c>
      <c r="G30" s="19" t="s">
        <v>6</v>
      </c>
      <c r="H30" s="20"/>
      <c r="I30" s="19" t="s">
        <v>1066</v>
      </c>
      <c r="J30" s="3"/>
      <c r="K30" s="3"/>
      <c r="L30" s="3"/>
      <c r="M30" s="3"/>
      <c r="N30" s="3"/>
      <c r="O30" s="3"/>
      <c r="P30" s="3"/>
      <c r="Q30" s="3"/>
      <c r="R30" s="3"/>
      <c r="S30" s="3"/>
      <c r="T30" s="3"/>
      <c r="U30" s="3"/>
      <c r="V30" s="3"/>
      <c r="W30" s="3"/>
      <c r="X30" s="3"/>
      <c r="Y30" s="3"/>
      <c r="Z30" s="3"/>
      <c r="AA30" s="3"/>
      <c r="AB30" s="3"/>
    </row>
    <row r="31">
      <c r="A31" s="19" t="s">
        <v>1067</v>
      </c>
      <c r="B31" s="55" t="s">
        <v>1068</v>
      </c>
      <c r="C31" s="19" t="s">
        <v>195</v>
      </c>
      <c r="D31" s="19" t="s">
        <v>1069</v>
      </c>
      <c r="E31" s="19" t="s">
        <v>1070</v>
      </c>
      <c r="F31" s="19" t="s">
        <v>1071</v>
      </c>
      <c r="G31" s="19" t="s">
        <v>7</v>
      </c>
      <c r="H31" s="20"/>
      <c r="I31" s="20"/>
      <c r="J31" s="3"/>
      <c r="K31" s="3"/>
      <c r="L31" s="3"/>
      <c r="M31" s="3"/>
      <c r="N31" s="3"/>
      <c r="O31" s="3"/>
      <c r="P31" s="3"/>
      <c r="Q31" s="3"/>
      <c r="R31" s="3"/>
      <c r="S31" s="3"/>
      <c r="T31" s="3"/>
      <c r="U31" s="3"/>
      <c r="V31" s="3"/>
      <c r="W31" s="3"/>
      <c r="X31" s="3"/>
      <c r="Y31" s="3"/>
      <c r="Z31" s="3"/>
      <c r="AA31" s="3"/>
      <c r="AB31" s="3"/>
    </row>
    <row r="32">
      <c r="A32" s="19" t="s">
        <v>1072</v>
      </c>
      <c r="B32" s="56"/>
      <c r="C32" s="19" t="s">
        <v>195</v>
      </c>
      <c r="D32" s="19" t="s">
        <v>1073</v>
      </c>
      <c r="E32" s="19" t="s">
        <v>1074</v>
      </c>
      <c r="F32" s="19" t="s">
        <v>1075</v>
      </c>
      <c r="G32" s="19" t="s">
        <v>7</v>
      </c>
      <c r="H32" s="19"/>
      <c r="I32" s="20"/>
      <c r="J32" s="3"/>
      <c r="K32" s="3"/>
      <c r="L32" s="3"/>
      <c r="M32" s="3"/>
      <c r="N32" s="3"/>
      <c r="O32" s="3"/>
      <c r="P32" s="3"/>
      <c r="Q32" s="3"/>
      <c r="R32" s="3"/>
      <c r="S32" s="3"/>
      <c r="T32" s="3"/>
      <c r="U32" s="3"/>
      <c r="V32" s="3"/>
      <c r="W32" s="3"/>
      <c r="X32" s="3"/>
      <c r="Y32" s="3"/>
      <c r="Z32" s="3"/>
      <c r="AA32" s="3"/>
      <c r="AB32" s="3"/>
    </row>
    <row r="33">
      <c r="A33" s="19" t="s">
        <v>1076</v>
      </c>
      <c r="B33" s="57"/>
      <c r="C33" s="19" t="s">
        <v>195</v>
      </c>
      <c r="D33" s="19" t="s">
        <v>1077</v>
      </c>
      <c r="E33" s="19" t="s">
        <v>1078</v>
      </c>
      <c r="F33" s="19" t="s">
        <v>1028</v>
      </c>
      <c r="G33" s="19" t="s">
        <v>6</v>
      </c>
      <c r="H33" s="20"/>
      <c r="I33" s="19" t="s">
        <v>1079</v>
      </c>
      <c r="J33" s="3"/>
      <c r="K33" s="3"/>
      <c r="L33" s="3"/>
      <c r="M33" s="3"/>
      <c r="N33" s="3"/>
      <c r="O33" s="3"/>
      <c r="P33" s="3"/>
      <c r="Q33" s="3"/>
      <c r="R33" s="3"/>
      <c r="S33" s="3"/>
      <c r="T33" s="3"/>
      <c r="U33" s="3"/>
      <c r="V33" s="3"/>
      <c r="W33" s="3"/>
      <c r="X33" s="3"/>
      <c r="Y33" s="3"/>
      <c r="Z33" s="3"/>
      <c r="AA33" s="3"/>
      <c r="AB33" s="3"/>
    </row>
    <row r="34">
      <c r="A34" s="19" t="s">
        <v>1080</v>
      </c>
      <c r="B34" s="55" t="s">
        <v>1081</v>
      </c>
      <c r="C34" s="19" t="s">
        <v>600</v>
      </c>
      <c r="D34" s="19" t="s">
        <v>1082</v>
      </c>
      <c r="E34" s="19" t="s">
        <v>1083</v>
      </c>
      <c r="F34" s="19" t="s">
        <v>1084</v>
      </c>
      <c r="G34" s="19" t="s">
        <v>8</v>
      </c>
      <c r="H34" s="19">
        <v>1.0</v>
      </c>
      <c r="I34" s="19" t="s">
        <v>1085</v>
      </c>
      <c r="J34" s="3"/>
      <c r="K34" s="3"/>
      <c r="L34" s="3"/>
      <c r="M34" s="3"/>
      <c r="N34" s="3"/>
      <c r="O34" s="3"/>
      <c r="P34" s="3"/>
      <c r="Q34" s="3"/>
      <c r="R34" s="3"/>
      <c r="S34" s="3"/>
      <c r="T34" s="3"/>
      <c r="U34" s="3"/>
      <c r="V34" s="3"/>
      <c r="W34" s="3"/>
      <c r="X34" s="3"/>
      <c r="Y34" s="3"/>
      <c r="Z34" s="3"/>
      <c r="AA34" s="3"/>
      <c r="AB34" s="3"/>
    </row>
    <row r="35">
      <c r="A35" s="19" t="s">
        <v>1086</v>
      </c>
      <c r="B35" s="56"/>
      <c r="C35" s="19" t="s">
        <v>195</v>
      </c>
      <c r="D35" s="19" t="s">
        <v>1087</v>
      </c>
      <c r="E35" s="19" t="s">
        <v>1088</v>
      </c>
      <c r="F35" s="19" t="s">
        <v>1089</v>
      </c>
      <c r="G35" s="19" t="s">
        <v>8</v>
      </c>
      <c r="H35" s="19">
        <v>1.0</v>
      </c>
      <c r="I35" s="19" t="s">
        <v>1090</v>
      </c>
      <c r="J35" s="3"/>
      <c r="K35" s="3"/>
      <c r="L35" s="3"/>
      <c r="M35" s="3"/>
      <c r="N35" s="3"/>
      <c r="O35" s="3"/>
      <c r="P35" s="3"/>
      <c r="Q35" s="3"/>
      <c r="R35" s="3"/>
      <c r="S35" s="3"/>
      <c r="T35" s="3"/>
      <c r="U35" s="3"/>
      <c r="V35" s="3"/>
      <c r="W35" s="3"/>
      <c r="X35" s="3"/>
      <c r="Y35" s="3"/>
      <c r="Z35" s="3"/>
      <c r="AA35" s="3"/>
      <c r="AB35" s="3"/>
    </row>
    <row r="36">
      <c r="A36" s="19" t="s">
        <v>1091</v>
      </c>
      <c r="B36" s="57"/>
      <c r="C36" s="19" t="s">
        <v>195</v>
      </c>
      <c r="D36" s="19" t="s">
        <v>1092</v>
      </c>
      <c r="E36" s="19" t="s">
        <v>1093</v>
      </c>
      <c r="F36" s="19" t="s">
        <v>1094</v>
      </c>
      <c r="G36" s="19" t="s">
        <v>8</v>
      </c>
      <c r="H36" s="19">
        <v>1.0</v>
      </c>
      <c r="I36" s="19" t="s">
        <v>1095</v>
      </c>
      <c r="J36" s="3"/>
      <c r="K36" s="3"/>
      <c r="L36" s="3"/>
      <c r="M36" s="3"/>
      <c r="N36" s="3"/>
      <c r="O36" s="3"/>
      <c r="P36" s="3"/>
      <c r="Q36" s="3"/>
      <c r="R36" s="3"/>
      <c r="S36" s="3"/>
      <c r="T36" s="3"/>
      <c r="U36" s="3"/>
      <c r="V36" s="3"/>
      <c r="W36" s="3"/>
      <c r="X36" s="3"/>
      <c r="Y36" s="3"/>
      <c r="Z36" s="3"/>
      <c r="AA36" s="3"/>
      <c r="AB36" s="3"/>
    </row>
    <row r="37">
      <c r="A37" s="19" t="s">
        <v>1096</v>
      </c>
      <c r="B37" s="55" t="s">
        <v>1097</v>
      </c>
      <c r="C37" s="19" t="s">
        <v>600</v>
      </c>
      <c r="D37" s="19" t="s">
        <v>1098</v>
      </c>
      <c r="E37" s="19" t="s">
        <v>1099</v>
      </c>
      <c r="F37" s="19" t="s">
        <v>1100</v>
      </c>
      <c r="G37" s="19" t="s">
        <v>7</v>
      </c>
      <c r="H37" s="20"/>
      <c r="I37" s="20"/>
      <c r="J37" s="3"/>
      <c r="K37" s="3"/>
      <c r="L37" s="3"/>
      <c r="M37" s="3"/>
      <c r="N37" s="3"/>
      <c r="O37" s="3"/>
      <c r="P37" s="3"/>
      <c r="Q37" s="3"/>
      <c r="R37" s="3"/>
      <c r="S37" s="3"/>
      <c r="T37" s="3"/>
      <c r="U37" s="3"/>
      <c r="V37" s="3"/>
      <c r="W37" s="3"/>
      <c r="X37" s="3"/>
      <c r="Y37" s="3"/>
      <c r="Z37" s="3"/>
      <c r="AA37" s="3"/>
      <c r="AB37" s="3"/>
    </row>
    <row r="38">
      <c r="A38" s="19" t="s">
        <v>1101</v>
      </c>
      <c r="B38" s="56"/>
      <c r="C38" s="19" t="s">
        <v>600</v>
      </c>
      <c r="D38" s="19" t="s">
        <v>1102</v>
      </c>
      <c r="E38" s="19" t="s">
        <v>1103</v>
      </c>
      <c r="F38" s="19" t="s">
        <v>859</v>
      </c>
      <c r="G38" s="19" t="s">
        <v>7</v>
      </c>
      <c r="H38" s="20"/>
      <c r="I38" s="20"/>
      <c r="J38" s="3"/>
      <c r="K38" s="3"/>
      <c r="L38" s="3"/>
      <c r="M38" s="3"/>
      <c r="N38" s="3"/>
      <c r="O38" s="3"/>
      <c r="P38" s="3"/>
      <c r="Q38" s="3"/>
      <c r="R38" s="3"/>
      <c r="S38" s="3"/>
      <c r="T38" s="3"/>
      <c r="U38" s="3"/>
      <c r="V38" s="3"/>
      <c r="W38" s="3"/>
      <c r="X38" s="3"/>
      <c r="Y38" s="3"/>
      <c r="Z38" s="3"/>
      <c r="AA38" s="3"/>
      <c r="AB38" s="3"/>
    </row>
    <row r="39">
      <c r="A39" s="19" t="s">
        <v>1104</v>
      </c>
      <c r="B39" s="56"/>
      <c r="C39" s="19" t="s">
        <v>600</v>
      </c>
      <c r="D39" s="19" t="s">
        <v>1105</v>
      </c>
      <c r="E39" s="19" t="s">
        <v>1106</v>
      </c>
      <c r="F39" s="19" t="s">
        <v>1107</v>
      </c>
      <c r="G39" s="19" t="s">
        <v>8</v>
      </c>
      <c r="H39" s="19">
        <v>1.0</v>
      </c>
      <c r="I39" s="55" t="s">
        <v>1108</v>
      </c>
      <c r="J39" s="3"/>
      <c r="K39" s="3"/>
      <c r="L39" s="3"/>
      <c r="M39" s="3"/>
      <c r="N39" s="3"/>
      <c r="O39" s="3"/>
      <c r="P39" s="3"/>
      <c r="Q39" s="3"/>
      <c r="R39" s="3"/>
      <c r="S39" s="3"/>
      <c r="T39" s="3"/>
      <c r="U39" s="3"/>
      <c r="V39" s="3"/>
      <c r="W39" s="3"/>
      <c r="X39" s="3"/>
      <c r="Y39" s="3"/>
      <c r="Z39" s="3"/>
      <c r="AA39" s="3"/>
      <c r="AB39" s="3"/>
    </row>
    <row r="40">
      <c r="A40" s="19" t="s">
        <v>1109</v>
      </c>
      <c r="B40" s="56"/>
      <c r="C40" s="19" t="s">
        <v>600</v>
      </c>
      <c r="D40" s="19" t="s">
        <v>1110</v>
      </c>
      <c r="E40" s="19" t="s">
        <v>1111</v>
      </c>
      <c r="F40" s="19" t="s">
        <v>1094</v>
      </c>
      <c r="G40" s="19" t="s">
        <v>8</v>
      </c>
      <c r="H40" s="19">
        <v>1.0</v>
      </c>
      <c r="I40" s="56"/>
      <c r="J40" s="3"/>
      <c r="K40" s="3"/>
      <c r="L40" s="3"/>
      <c r="M40" s="3"/>
      <c r="N40" s="3"/>
      <c r="O40" s="3"/>
      <c r="P40" s="3"/>
      <c r="Q40" s="3"/>
      <c r="R40" s="3"/>
      <c r="S40" s="3"/>
      <c r="T40" s="3"/>
      <c r="U40" s="3"/>
      <c r="V40" s="3"/>
      <c r="W40" s="3"/>
      <c r="X40" s="3"/>
      <c r="Y40" s="3"/>
      <c r="Z40" s="3"/>
      <c r="AA40" s="3"/>
      <c r="AB40" s="3"/>
    </row>
    <row r="41">
      <c r="A41" s="19" t="s">
        <v>1112</v>
      </c>
      <c r="B41" s="56"/>
      <c r="C41" s="19" t="s">
        <v>195</v>
      </c>
      <c r="D41" s="19" t="s">
        <v>1113</v>
      </c>
      <c r="E41" s="19" t="s">
        <v>1114</v>
      </c>
      <c r="F41" s="19" t="s">
        <v>859</v>
      </c>
      <c r="G41" s="19" t="s">
        <v>8</v>
      </c>
      <c r="H41" s="19">
        <v>1.0</v>
      </c>
      <c r="I41" s="56"/>
      <c r="J41" s="3"/>
      <c r="K41" s="3"/>
      <c r="L41" s="3"/>
      <c r="M41" s="3"/>
      <c r="N41" s="3"/>
      <c r="O41" s="3"/>
      <c r="P41" s="3"/>
      <c r="Q41" s="3"/>
      <c r="R41" s="3"/>
      <c r="S41" s="3"/>
      <c r="T41" s="3"/>
      <c r="U41" s="3"/>
      <c r="V41" s="3"/>
      <c r="W41" s="3"/>
      <c r="X41" s="3"/>
      <c r="Y41" s="3"/>
      <c r="Z41" s="3"/>
      <c r="AA41" s="3"/>
      <c r="AB41" s="3"/>
    </row>
    <row r="42">
      <c r="A42" s="19" t="s">
        <v>1115</v>
      </c>
      <c r="B42" s="57"/>
      <c r="C42" s="19" t="s">
        <v>195</v>
      </c>
      <c r="D42" s="19" t="s">
        <v>1116</v>
      </c>
      <c r="E42" s="19" t="s">
        <v>1117</v>
      </c>
      <c r="F42" s="19" t="s">
        <v>859</v>
      </c>
      <c r="G42" s="19" t="s">
        <v>8</v>
      </c>
      <c r="H42" s="19">
        <v>1.0</v>
      </c>
      <c r="I42" s="57"/>
      <c r="J42" s="3"/>
      <c r="K42" s="3"/>
      <c r="L42" s="3"/>
      <c r="M42" s="3"/>
      <c r="N42" s="3"/>
      <c r="O42" s="3"/>
      <c r="P42" s="3"/>
      <c r="Q42" s="3"/>
      <c r="R42" s="3"/>
      <c r="S42" s="3"/>
      <c r="T42" s="3"/>
      <c r="U42" s="3"/>
      <c r="V42" s="3"/>
      <c r="W42" s="3"/>
      <c r="X42" s="3"/>
      <c r="Y42" s="3"/>
      <c r="Z42" s="3"/>
      <c r="AA42" s="3"/>
      <c r="AB42" s="3"/>
    </row>
    <row r="43">
      <c r="A43" s="19" t="s">
        <v>1118</v>
      </c>
      <c r="B43" s="55" t="s">
        <v>1081</v>
      </c>
      <c r="C43" s="19" t="s">
        <v>600</v>
      </c>
      <c r="D43" s="19" t="s">
        <v>1119</v>
      </c>
      <c r="E43" s="19" t="s">
        <v>1120</v>
      </c>
      <c r="F43" s="19" t="s">
        <v>1100</v>
      </c>
      <c r="G43" s="19" t="s">
        <v>8</v>
      </c>
      <c r="H43" s="19">
        <v>1.0</v>
      </c>
      <c r="I43" s="55" t="s">
        <v>1121</v>
      </c>
      <c r="J43" s="3"/>
      <c r="K43" s="3"/>
      <c r="L43" s="3"/>
      <c r="M43" s="3"/>
      <c r="N43" s="3"/>
      <c r="O43" s="3"/>
      <c r="P43" s="3"/>
      <c r="Q43" s="3"/>
      <c r="R43" s="3"/>
      <c r="S43" s="3"/>
      <c r="T43" s="3"/>
      <c r="U43" s="3"/>
      <c r="V43" s="3"/>
      <c r="W43" s="3"/>
      <c r="X43" s="3"/>
      <c r="Y43" s="3"/>
      <c r="Z43" s="3"/>
      <c r="AA43" s="3"/>
      <c r="AB43" s="3"/>
    </row>
    <row r="44">
      <c r="A44" s="19" t="s">
        <v>1122</v>
      </c>
      <c r="B44" s="57"/>
      <c r="C44" s="19" t="s">
        <v>195</v>
      </c>
      <c r="D44" s="19" t="s">
        <v>1123</v>
      </c>
      <c r="E44" s="19" t="s">
        <v>1124</v>
      </c>
      <c r="F44" s="19" t="s">
        <v>1125</v>
      </c>
      <c r="G44" s="19" t="s">
        <v>8</v>
      </c>
      <c r="H44" s="19">
        <v>1.0</v>
      </c>
      <c r="I44" s="57"/>
      <c r="J44" s="3"/>
      <c r="K44" s="3"/>
      <c r="L44" s="3"/>
      <c r="M44" s="3"/>
      <c r="N44" s="3"/>
      <c r="O44" s="3"/>
      <c r="P44" s="3"/>
      <c r="Q44" s="3"/>
      <c r="R44" s="3"/>
      <c r="S44" s="3"/>
      <c r="T44" s="3"/>
      <c r="U44" s="3"/>
      <c r="V44" s="3"/>
      <c r="W44" s="3"/>
      <c r="X44" s="3"/>
      <c r="Y44" s="3"/>
      <c r="Z44" s="3"/>
      <c r="AA44" s="3"/>
      <c r="AB44" s="3"/>
    </row>
    <row r="45">
      <c r="A45" s="20"/>
      <c r="B45" s="20"/>
      <c r="C45" s="20"/>
      <c r="D45" s="20"/>
      <c r="E45" s="20"/>
      <c r="F45" s="20"/>
      <c r="G45" s="20"/>
      <c r="H45" s="20"/>
      <c r="I45" s="20"/>
      <c r="J45" s="3"/>
      <c r="K45" s="3"/>
      <c r="L45" s="3"/>
      <c r="M45" s="3"/>
      <c r="N45" s="3"/>
      <c r="O45" s="3"/>
      <c r="P45" s="3"/>
      <c r="Q45" s="3"/>
      <c r="R45" s="3"/>
      <c r="S45" s="3"/>
      <c r="T45" s="3"/>
      <c r="U45" s="3"/>
      <c r="V45" s="3"/>
      <c r="W45" s="3"/>
      <c r="X45" s="3"/>
      <c r="Y45" s="3"/>
      <c r="Z45" s="3"/>
      <c r="AA45" s="3"/>
      <c r="AB45" s="3"/>
    </row>
    <row r="46">
      <c r="A46" s="20"/>
      <c r="B46" s="20"/>
      <c r="C46" s="20"/>
      <c r="D46" s="20"/>
      <c r="E46" s="20"/>
      <c r="F46" s="20"/>
      <c r="G46" s="20"/>
      <c r="H46" s="20"/>
      <c r="I46" s="20"/>
      <c r="J46" s="3"/>
      <c r="K46" s="3"/>
      <c r="L46" s="3"/>
      <c r="M46" s="3"/>
      <c r="N46" s="3"/>
      <c r="O46" s="3"/>
      <c r="P46" s="3"/>
      <c r="Q46" s="3"/>
      <c r="R46" s="3"/>
      <c r="S46" s="3"/>
      <c r="T46" s="3"/>
      <c r="U46" s="3"/>
      <c r="V46" s="3"/>
      <c r="W46" s="3"/>
      <c r="X46" s="3"/>
      <c r="Y46" s="3"/>
      <c r="Z46" s="3"/>
      <c r="AA46" s="3"/>
      <c r="AB46" s="3"/>
    </row>
    <row r="47">
      <c r="A47" s="20"/>
      <c r="B47" s="20"/>
      <c r="C47" s="20"/>
      <c r="D47" s="20"/>
      <c r="E47" s="20"/>
      <c r="F47" s="20"/>
      <c r="G47" s="20"/>
      <c r="H47" s="20"/>
      <c r="I47" s="20"/>
      <c r="J47" s="3"/>
      <c r="K47" s="3"/>
      <c r="L47" s="3"/>
      <c r="M47" s="3"/>
      <c r="N47" s="3"/>
      <c r="O47" s="3"/>
      <c r="P47" s="3"/>
      <c r="Q47" s="3"/>
      <c r="R47" s="3"/>
      <c r="S47" s="3"/>
      <c r="T47" s="3"/>
      <c r="U47" s="3"/>
      <c r="V47" s="3"/>
      <c r="W47" s="3"/>
      <c r="X47" s="3"/>
      <c r="Y47" s="3"/>
      <c r="Z47" s="3"/>
      <c r="AA47" s="3"/>
      <c r="AB47" s="3"/>
    </row>
    <row r="48">
      <c r="A48" s="20"/>
      <c r="B48" s="20"/>
      <c r="C48" s="20"/>
      <c r="D48" s="20"/>
      <c r="E48" s="20"/>
      <c r="F48" s="20"/>
      <c r="G48" s="20"/>
      <c r="H48" s="20"/>
      <c r="I48" s="20"/>
      <c r="J48" s="3"/>
      <c r="K48" s="3"/>
      <c r="L48" s="3"/>
      <c r="M48" s="3"/>
      <c r="N48" s="3"/>
      <c r="O48" s="3"/>
      <c r="P48" s="3"/>
      <c r="Q48" s="3"/>
      <c r="R48" s="3"/>
      <c r="S48" s="3"/>
      <c r="T48" s="3"/>
      <c r="U48" s="3"/>
      <c r="V48" s="3"/>
      <c r="W48" s="3"/>
      <c r="X48" s="3"/>
      <c r="Y48" s="3"/>
      <c r="Z48" s="3"/>
      <c r="AA48" s="3"/>
      <c r="AB48" s="3"/>
    </row>
    <row r="49">
      <c r="A49" s="20"/>
      <c r="B49" s="20"/>
      <c r="C49" s="20"/>
      <c r="D49" s="20"/>
      <c r="E49" s="20"/>
      <c r="F49" s="20"/>
      <c r="G49" s="20"/>
      <c r="H49" s="20"/>
      <c r="I49" s="20"/>
      <c r="J49" s="3"/>
      <c r="K49" s="3"/>
      <c r="L49" s="3"/>
      <c r="M49" s="3"/>
      <c r="N49" s="3"/>
      <c r="O49" s="3"/>
      <c r="P49" s="3"/>
      <c r="Q49" s="3"/>
      <c r="R49" s="3"/>
      <c r="S49" s="3"/>
      <c r="T49" s="3"/>
      <c r="U49" s="3"/>
      <c r="V49" s="3"/>
      <c r="W49" s="3"/>
      <c r="X49" s="3"/>
      <c r="Y49" s="3"/>
      <c r="Z49" s="3"/>
      <c r="AA49" s="3"/>
      <c r="AB49" s="3"/>
    </row>
    <row r="50">
      <c r="A50" s="20"/>
      <c r="B50" s="20"/>
      <c r="C50" s="20"/>
      <c r="D50" s="20"/>
      <c r="E50" s="20"/>
      <c r="F50" s="20"/>
      <c r="G50" s="20"/>
      <c r="H50" s="20"/>
      <c r="I50" s="20"/>
      <c r="J50" s="3"/>
      <c r="K50" s="3"/>
      <c r="L50" s="3"/>
      <c r="M50" s="3"/>
      <c r="N50" s="3"/>
      <c r="O50" s="3"/>
      <c r="P50" s="3"/>
      <c r="Q50" s="3"/>
      <c r="R50" s="3"/>
      <c r="S50" s="3"/>
      <c r="T50" s="3"/>
      <c r="U50" s="3"/>
      <c r="V50" s="3"/>
      <c r="W50" s="3"/>
      <c r="X50" s="3"/>
      <c r="Y50" s="3"/>
      <c r="Z50" s="3"/>
      <c r="AA50" s="3"/>
      <c r="AB50" s="3"/>
    </row>
    <row r="51">
      <c r="A51" s="20"/>
      <c r="B51" s="20"/>
      <c r="C51" s="20"/>
      <c r="D51" s="20"/>
      <c r="E51" s="20"/>
      <c r="F51" s="20"/>
      <c r="G51" s="20"/>
      <c r="H51" s="20"/>
      <c r="I51" s="20"/>
      <c r="J51" s="3"/>
      <c r="K51" s="3"/>
      <c r="L51" s="3"/>
      <c r="M51" s="3"/>
      <c r="N51" s="3"/>
      <c r="O51" s="3"/>
      <c r="P51" s="3"/>
      <c r="Q51" s="3"/>
      <c r="R51" s="3"/>
      <c r="S51" s="3"/>
      <c r="T51" s="3"/>
      <c r="U51" s="3"/>
      <c r="V51" s="3"/>
      <c r="W51" s="3"/>
      <c r="X51" s="3"/>
      <c r="Y51" s="3"/>
      <c r="Z51" s="3"/>
      <c r="AA51" s="3"/>
      <c r="AB51" s="3"/>
    </row>
    <row r="52">
      <c r="A52" s="20"/>
      <c r="B52" s="20"/>
      <c r="C52" s="20"/>
      <c r="D52" s="20"/>
      <c r="E52" s="20"/>
      <c r="F52" s="20"/>
      <c r="G52" s="20"/>
      <c r="H52" s="20"/>
      <c r="I52" s="20"/>
      <c r="J52" s="3"/>
      <c r="K52" s="3"/>
      <c r="L52" s="3"/>
      <c r="M52" s="3"/>
      <c r="N52" s="3"/>
      <c r="O52" s="3"/>
      <c r="P52" s="3"/>
      <c r="Q52" s="3"/>
      <c r="R52" s="3"/>
      <c r="S52" s="3"/>
      <c r="T52" s="3"/>
      <c r="U52" s="3"/>
      <c r="V52" s="3"/>
      <c r="W52" s="3"/>
      <c r="X52" s="3"/>
      <c r="Y52" s="3"/>
      <c r="Z52" s="3"/>
      <c r="AA52" s="3"/>
      <c r="AB52" s="3"/>
    </row>
    <row r="53">
      <c r="A53" s="20"/>
      <c r="B53" s="20"/>
      <c r="C53" s="20"/>
      <c r="D53" s="20"/>
      <c r="E53" s="20"/>
      <c r="F53" s="20"/>
      <c r="G53" s="20"/>
      <c r="H53" s="20"/>
      <c r="I53" s="20"/>
      <c r="J53" s="3"/>
      <c r="K53" s="3"/>
      <c r="L53" s="3"/>
      <c r="M53" s="3"/>
      <c r="N53" s="3"/>
      <c r="O53" s="3"/>
      <c r="P53" s="3"/>
      <c r="Q53" s="3"/>
      <c r="R53" s="3"/>
      <c r="S53" s="3"/>
      <c r="T53" s="3"/>
      <c r="U53" s="3"/>
      <c r="V53" s="3"/>
      <c r="W53" s="3"/>
      <c r="X53" s="3"/>
      <c r="Y53" s="3"/>
      <c r="Z53" s="3"/>
      <c r="AA53" s="3"/>
      <c r="AB53" s="3"/>
    </row>
    <row r="54">
      <c r="A54" s="20"/>
      <c r="B54" s="20"/>
      <c r="C54" s="20"/>
      <c r="D54" s="20"/>
      <c r="E54" s="20"/>
      <c r="F54" s="20"/>
      <c r="G54" s="20"/>
      <c r="H54" s="20"/>
      <c r="I54" s="20"/>
      <c r="J54" s="3"/>
      <c r="K54" s="3"/>
      <c r="L54" s="3"/>
      <c r="M54" s="3"/>
      <c r="N54" s="3"/>
      <c r="O54" s="3"/>
      <c r="P54" s="3"/>
      <c r="Q54" s="3"/>
      <c r="R54" s="3"/>
      <c r="S54" s="3"/>
      <c r="T54" s="3"/>
      <c r="U54" s="3"/>
      <c r="V54" s="3"/>
      <c r="W54" s="3"/>
      <c r="X54" s="3"/>
      <c r="Y54" s="3"/>
      <c r="Z54" s="3"/>
      <c r="AA54" s="3"/>
      <c r="AB54" s="3"/>
    </row>
    <row r="55">
      <c r="A55" s="20"/>
      <c r="B55" s="20"/>
      <c r="C55" s="20"/>
      <c r="D55" s="20"/>
      <c r="E55" s="20"/>
      <c r="F55" s="20"/>
      <c r="G55" s="20"/>
      <c r="H55" s="20"/>
      <c r="I55" s="20"/>
      <c r="J55" s="3"/>
      <c r="K55" s="3"/>
      <c r="L55" s="3"/>
      <c r="M55" s="3"/>
      <c r="N55" s="3"/>
      <c r="O55" s="3"/>
      <c r="P55" s="3"/>
      <c r="Q55" s="3"/>
      <c r="R55" s="3"/>
      <c r="S55" s="3"/>
      <c r="T55" s="3"/>
      <c r="U55" s="3"/>
      <c r="V55" s="3"/>
      <c r="W55" s="3"/>
      <c r="X55" s="3"/>
      <c r="Y55" s="3"/>
      <c r="Z55" s="3"/>
      <c r="AA55" s="3"/>
      <c r="AB55" s="3"/>
    </row>
    <row r="56">
      <c r="A56" s="20"/>
      <c r="B56" s="20"/>
      <c r="C56" s="20"/>
      <c r="D56" s="20"/>
      <c r="E56" s="20"/>
      <c r="F56" s="20"/>
      <c r="G56" s="20"/>
      <c r="H56" s="20"/>
      <c r="I56" s="20"/>
      <c r="J56" s="3"/>
      <c r="K56" s="3"/>
      <c r="L56" s="3"/>
      <c r="M56" s="3"/>
      <c r="N56" s="3"/>
      <c r="O56" s="3"/>
      <c r="P56" s="3"/>
      <c r="Q56" s="3"/>
      <c r="R56" s="3"/>
      <c r="S56" s="3"/>
      <c r="T56" s="3"/>
      <c r="U56" s="3"/>
      <c r="V56" s="3"/>
      <c r="W56" s="3"/>
      <c r="X56" s="3"/>
      <c r="Y56" s="3"/>
      <c r="Z56" s="3"/>
      <c r="AA56" s="3"/>
      <c r="AB56" s="3"/>
    </row>
    <row r="57">
      <c r="A57" s="20"/>
      <c r="B57" s="20"/>
      <c r="C57" s="20"/>
      <c r="D57" s="20"/>
      <c r="E57" s="20"/>
      <c r="F57" s="20"/>
      <c r="G57" s="20"/>
      <c r="H57" s="20"/>
      <c r="I57" s="20"/>
      <c r="J57" s="3"/>
      <c r="K57" s="3"/>
      <c r="L57" s="3"/>
      <c r="M57" s="3"/>
      <c r="N57" s="3"/>
      <c r="O57" s="3"/>
      <c r="P57" s="3"/>
      <c r="Q57" s="3"/>
      <c r="R57" s="3"/>
      <c r="S57" s="3"/>
      <c r="T57" s="3"/>
      <c r="U57" s="3"/>
      <c r="V57" s="3"/>
      <c r="W57" s="3"/>
      <c r="X57" s="3"/>
      <c r="Y57" s="3"/>
      <c r="Z57" s="3"/>
      <c r="AA57" s="3"/>
      <c r="AB57" s="3"/>
    </row>
    <row r="58">
      <c r="A58" s="20"/>
      <c r="B58" s="20"/>
      <c r="C58" s="20"/>
      <c r="D58" s="20"/>
      <c r="E58" s="20"/>
      <c r="F58" s="20"/>
      <c r="G58" s="20"/>
      <c r="H58" s="20"/>
      <c r="I58" s="20"/>
      <c r="J58" s="3"/>
      <c r="K58" s="3"/>
      <c r="L58" s="3"/>
      <c r="M58" s="3"/>
      <c r="N58" s="3"/>
      <c r="O58" s="3"/>
      <c r="P58" s="3"/>
      <c r="Q58" s="3"/>
      <c r="R58" s="3"/>
      <c r="S58" s="3"/>
      <c r="T58" s="3"/>
      <c r="U58" s="3"/>
      <c r="V58" s="3"/>
      <c r="W58" s="3"/>
      <c r="X58" s="3"/>
      <c r="Y58" s="3"/>
      <c r="Z58" s="3"/>
      <c r="AA58" s="3"/>
      <c r="AB58" s="3"/>
    </row>
    <row r="59">
      <c r="A59" s="20"/>
      <c r="B59" s="20"/>
      <c r="C59" s="20"/>
      <c r="D59" s="20"/>
      <c r="E59" s="20"/>
      <c r="F59" s="20"/>
      <c r="G59" s="20"/>
      <c r="H59" s="20"/>
      <c r="I59" s="20"/>
      <c r="J59" s="3"/>
      <c r="K59" s="3"/>
      <c r="L59" s="3"/>
      <c r="M59" s="3"/>
      <c r="N59" s="3"/>
      <c r="O59" s="3"/>
      <c r="P59" s="3"/>
      <c r="Q59" s="3"/>
      <c r="R59" s="3"/>
      <c r="S59" s="3"/>
      <c r="T59" s="3"/>
      <c r="U59" s="3"/>
      <c r="V59" s="3"/>
      <c r="W59" s="3"/>
      <c r="X59" s="3"/>
      <c r="Y59" s="3"/>
      <c r="Z59" s="3"/>
      <c r="AA59" s="3"/>
      <c r="AB59" s="3"/>
    </row>
    <row r="60">
      <c r="A60" s="20"/>
      <c r="B60" s="20"/>
      <c r="C60" s="20"/>
      <c r="D60" s="20"/>
      <c r="E60" s="20"/>
      <c r="F60" s="20"/>
      <c r="G60" s="20"/>
      <c r="H60" s="20"/>
      <c r="I60" s="20"/>
      <c r="J60" s="3"/>
      <c r="K60" s="3"/>
      <c r="L60" s="3"/>
      <c r="M60" s="3"/>
      <c r="N60" s="3"/>
      <c r="O60" s="3"/>
      <c r="P60" s="3"/>
      <c r="Q60" s="3"/>
      <c r="R60" s="3"/>
      <c r="S60" s="3"/>
      <c r="T60" s="3"/>
      <c r="U60" s="3"/>
      <c r="V60" s="3"/>
      <c r="W60" s="3"/>
      <c r="X60" s="3"/>
      <c r="Y60" s="3"/>
      <c r="Z60" s="3"/>
      <c r="AA60" s="3"/>
      <c r="AB60" s="3"/>
    </row>
    <row r="61">
      <c r="A61" s="20"/>
      <c r="B61" s="20"/>
      <c r="C61" s="20"/>
      <c r="D61" s="20"/>
      <c r="E61" s="20"/>
      <c r="F61" s="20"/>
      <c r="G61" s="20"/>
      <c r="H61" s="20"/>
      <c r="I61" s="20"/>
      <c r="J61" s="3"/>
      <c r="K61" s="3"/>
      <c r="L61" s="3"/>
      <c r="M61" s="3"/>
      <c r="N61" s="3"/>
      <c r="O61" s="3"/>
      <c r="P61" s="3"/>
      <c r="Q61" s="3"/>
      <c r="R61" s="3"/>
      <c r="S61" s="3"/>
      <c r="T61" s="3"/>
      <c r="U61" s="3"/>
      <c r="V61" s="3"/>
      <c r="W61" s="3"/>
      <c r="X61" s="3"/>
      <c r="Y61" s="3"/>
      <c r="Z61" s="3"/>
      <c r="AA61" s="3"/>
      <c r="AB61" s="3"/>
    </row>
    <row r="62">
      <c r="A62" s="20"/>
      <c r="B62" s="20"/>
      <c r="C62" s="20"/>
      <c r="D62" s="20"/>
      <c r="E62" s="20"/>
      <c r="F62" s="20"/>
      <c r="G62" s="20"/>
      <c r="H62" s="20"/>
      <c r="I62" s="20"/>
      <c r="J62" s="3"/>
      <c r="K62" s="3"/>
      <c r="L62" s="3"/>
      <c r="M62" s="3"/>
      <c r="N62" s="3"/>
      <c r="O62" s="3"/>
      <c r="P62" s="3"/>
      <c r="Q62" s="3"/>
      <c r="R62" s="3"/>
      <c r="S62" s="3"/>
      <c r="T62" s="3"/>
      <c r="U62" s="3"/>
      <c r="V62" s="3"/>
      <c r="W62" s="3"/>
      <c r="X62" s="3"/>
      <c r="Y62" s="3"/>
      <c r="Z62" s="3"/>
      <c r="AA62" s="3"/>
      <c r="AB62" s="3"/>
    </row>
    <row r="63">
      <c r="A63" s="20"/>
      <c r="B63" s="20"/>
      <c r="C63" s="20"/>
      <c r="D63" s="20"/>
      <c r="E63" s="20"/>
      <c r="F63" s="20"/>
      <c r="G63" s="20"/>
      <c r="H63" s="20"/>
      <c r="I63" s="20"/>
      <c r="J63" s="3"/>
      <c r="K63" s="3"/>
      <c r="L63" s="3"/>
      <c r="M63" s="3"/>
      <c r="N63" s="3"/>
      <c r="O63" s="3"/>
      <c r="P63" s="3"/>
      <c r="Q63" s="3"/>
      <c r="R63" s="3"/>
      <c r="S63" s="3"/>
      <c r="T63" s="3"/>
      <c r="U63" s="3"/>
      <c r="V63" s="3"/>
      <c r="W63" s="3"/>
      <c r="X63" s="3"/>
      <c r="Y63" s="3"/>
      <c r="Z63" s="3"/>
      <c r="AA63" s="3"/>
      <c r="AB63" s="3"/>
    </row>
    <row r="64">
      <c r="A64" s="20"/>
      <c r="B64" s="20"/>
      <c r="C64" s="20"/>
      <c r="D64" s="20"/>
      <c r="E64" s="20"/>
      <c r="F64" s="20"/>
      <c r="G64" s="20"/>
      <c r="H64" s="20"/>
      <c r="I64" s="20"/>
      <c r="J64" s="3"/>
      <c r="K64" s="3"/>
      <c r="L64" s="3"/>
      <c r="M64" s="3"/>
      <c r="N64" s="3"/>
      <c r="O64" s="3"/>
      <c r="P64" s="3"/>
      <c r="Q64" s="3"/>
      <c r="R64" s="3"/>
      <c r="S64" s="3"/>
      <c r="T64" s="3"/>
      <c r="U64" s="3"/>
      <c r="V64" s="3"/>
      <c r="W64" s="3"/>
      <c r="X64" s="3"/>
      <c r="Y64" s="3"/>
      <c r="Z64" s="3"/>
      <c r="AA64" s="3"/>
      <c r="AB64" s="3"/>
    </row>
    <row r="65">
      <c r="A65" s="20"/>
      <c r="B65" s="20"/>
      <c r="C65" s="20"/>
      <c r="D65" s="20"/>
      <c r="E65" s="20"/>
      <c r="F65" s="20"/>
      <c r="G65" s="20"/>
      <c r="H65" s="20"/>
      <c r="I65" s="20"/>
      <c r="J65" s="3"/>
      <c r="K65" s="3"/>
      <c r="L65" s="3"/>
      <c r="M65" s="3"/>
      <c r="N65" s="3"/>
      <c r="O65" s="3"/>
      <c r="P65" s="3"/>
      <c r="Q65" s="3"/>
      <c r="R65" s="3"/>
      <c r="S65" s="3"/>
      <c r="T65" s="3"/>
      <c r="U65" s="3"/>
      <c r="V65" s="3"/>
      <c r="W65" s="3"/>
      <c r="X65" s="3"/>
      <c r="Y65" s="3"/>
      <c r="Z65" s="3"/>
      <c r="AA65" s="3"/>
      <c r="AB65" s="3"/>
    </row>
    <row r="66">
      <c r="A66" s="20"/>
      <c r="B66" s="20"/>
      <c r="C66" s="20"/>
      <c r="D66" s="20"/>
      <c r="E66" s="20"/>
      <c r="F66" s="20"/>
      <c r="G66" s="20"/>
      <c r="H66" s="20"/>
      <c r="I66" s="20"/>
      <c r="J66" s="3"/>
      <c r="K66" s="3"/>
      <c r="L66" s="3"/>
      <c r="M66" s="3"/>
      <c r="N66" s="3"/>
      <c r="O66" s="3"/>
      <c r="P66" s="3"/>
      <c r="Q66" s="3"/>
      <c r="R66" s="3"/>
      <c r="S66" s="3"/>
      <c r="T66" s="3"/>
      <c r="U66" s="3"/>
      <c r="V66" s="3"/>
      <c r="W66" s="3"/>
      <c r="X66" s="3"/>
      <c r="Y66" s="3"/>
      <c r="Z66" s="3"/>
      <c r="AA66" s="3"/>
      <c r="AB66" s="3"/>
    </row>
    <row r="67">
      <c r="A67" s="20"/>
      <c r="B67" s="20"/>
      <c r="C67" s="20"/>
      <c r="D67" s="20"/>
      <c r="E67" s="20"/>
      <c r="F67" s="20"/>
      <c r="G67" s="20"/>
      <c r="H67" s="20"/>
      <c r="I67" s="20"/>
      <c r="J67" s="3"/>
      <c r="K67" s="3"/>
      <c r="L67" s="3"/>
      <c r="M67" s="3"/>
      <c r="N67" s="3"/>
      <c r="O67" s="3"/>
      <c r="P67" s="3"/>
      <c r="Q67" s="3"/>
      <c r="R67" s="3"/>
      <c r="S67" s="3"/>
      <c r="T67" s="3"/>
      <c r="U67" s="3"/>
      <c r="V67" s="3"/>
      <c r="W67" s="3"/>
      <c r="X67" s="3"/>
      <c r="Y67" s="3"/>
      <c r="Z67" s="3"/>
      <c r="AA67" s="3"/>
      <c r="AB67" s="3"/>
    </row>
    <row r="68">
      <c r="A68" s="20"/>
      <c r="B68" s="20"/>
      <c r="C68" s="20"/>
      <c r="D68" s="20"/>
      <c r="E68" s="20"/>
      <c r="F68" s="20"/>
      <c r="G68" s="20"/>
      <c r="H68" s="20"/>
      <c r="I68" s="20"/>
      <c r="J68" s="3"/>
      <c r="K68" s="3"/>
      <c r="L68" s="3"/>
      <c r="M68" s="3"/>
      <c r="N68" s="3"/>
      <c r="O68" s="3"/>
      <c r="P68" s="3"/>
      <c r="Q68" s="3"/>
      <c r="R68" s="3"/>
      <c r="S68" s="3"/>
      <c r="T68" s="3"/>
      <c r="U68" s="3"/>
      <c r="V68" s="3"/>
      <c r="W68" s="3"/>
      <c r="X68" s="3"/>
      <c r="Y68" s="3"/>
      <c r="Z68" s="3"/>
      <c r="AA68" s="3"/>
      <c r="AB68" s="3"/>
    </row>
    <row r="69">
      <c r="A69" s="20"/>
      <c r="B69" s="20"/>
      <c r="C69" s="20"/>
      <c r="D69" s="20"/>
      <c r="E69" s="20"/>
      <c r="F69" s="20"/>
      <c r="G69" s="20"/>
      <c r="H69" s="20"/>
      <c r="I69" s="20"/>
      <c r="J69" s="3"/>
      <c r="K69" s="3"/>
      <c r="L69" s="3"/>
      <c r="M69" s="3"/>
      <c r="N69" s="3"/>
      <c r="O69" s="3"/>
      <c r="P69" s="3"/>
      <c r="Q69" s="3"/>
      <c r="R69" s="3"/>
      <c r="S69" s="3"/>
      <c r="T69" s="3"/>
      <c r="U69" s="3"/>
      <c r="V69" s="3"/>
      <c r="W69" s="3"/>
      <c r="X69" s="3"/>
      <c r="Y69" s="3"/>
      <c r="Z69" s="3"/>
      <c r="AA69" s="3"/>
      <c r="AB69" s="3"/>
    </row>
    <row r="70">
      <c r="A70" s="20"/>
      <c r="B70" s="20"/>
      <c r="C70" s="20"/>
      <c r="D70" s="20"/>
      <c r="E70" s="20"/>
      <c r="F70" s="20"/>
      <c r="G70" s="20"/>
      <c r="H70" s="20"/>
      <c r="I70" s="20"/>
      <c r="J70" s="3"/>
      <c r="K70" s="3"/>
      <c r="L70" s="3"/>
      <c r="M70" s="3"/>
      <c r="N70" s="3"/>
      <c r="O70" s="3"/>
      <c r="P70" s="3"/>
      <c r="Q70" s="3"/>
      <c r="R70" s="3"/>
      <c r="S70" s="3"/>
      <c r="T70" s="3"/>
      <c r="U70" s="3"/>
      <c r="V70" s="3"/>
      <c r="W70" s="3"/>
      <c r="X70" s="3"/>
      <c r="Y70" s="3"/>
      <c r="Z70" s="3"/>
      <c r="AA70" s="3"/>
      <c r="AB70" s="3"/>
    </row>
    <row r="71">
      <c r="A71" s="20"/>
      <c r="B71" s="20"/>
      <c r="C71" s="20"/>
      <c r="D71" s="20"/>
      <c r="E71" s="20"/>
      <c r="F71" s="20"/>
      <c r="G71" s="20"/>
      <c r="H71" s="20"/>
      <c r="I71" s="20"/>
      <c r="J71" s="3"/>
      <c r="K71" s="3"/>
      <c r="L71" s="3"/>
      <c r="M71" s="3"/>
      <c r="N71" s="3"/>
      <c r="O71" s="3"/>
      <c r="P71" s="3"/>
      <c r="Q71" s="3"/>
      <c r="R71" s="3"/>
      <c r="S71" s="3"/>
      <c r="T71" s="3"/>
      <c r="U71" s="3"/>
      <c r="V71" s="3"/>
      <c r="W71" s="3"/>
      <c r="X71" s="3"/>
      <c r="Y71" s="3"/>
      <c r="Z71" s="3"/>
      <c r="AA71" s="3"/>
      <c r="AB71" s="3"/>
    </row>
    <row r="72">
      <c r="A72" s="20"/>
      <c r="B72" s="20"/>
      <c r="C72" s="20"/>
      <c r="D72" s="20"/>
      <c r="E72" s="20"/>
      <c r="F72" s="20"/>
      <c r="G72" s="20"/>
      <c r="H72" s="20"/>
      <c r="I72" s="20"/>
      <c r="J72" s="3"/>
      <c r="K72" s="3"/>
      <c r="L72" s="3"/>
      <c r="M72" s="3"/>
      <c r="N72" s="3"/>
      <c r="O72" s="3"/>
      <c r="P72" s="3"/>
      <c r="Q72" s="3"/>
      <c r="R72" s="3"/>
      <c r="S72" s="3"/>
      <c r="T72" s="3"/>
      <c r="U72" s="3"/>
      <c r="V72" s="3"/>
      <c r="W72" s="3"/>
      <c r="X72" s="3"/>
      <c r="Y72" s="3"/>
      <c r="Z72" s="3"/>
      <c r="AA72" s="3"/>
      <c r="AB72" s="3"/>
    </row>
    <row r="73">
      <c r="A73" s="20"/>
      <c r="B73" s="20"/>
      <c r="C73" s="20"/>
      <c r="D73" s="20"/>
      <c r="E73" s="20"/>
      <c r="F73" s="20"/>
      <c r="G73" s="20"/>
      <c r="H73" s="20"/>
      <c r="I73" s="20"/>
      <c r="J73" s="3"/>
      <c r="K73" s="3"/>
      <c r="L73" s="3"/>
      <c r="M73" s="3"/>
      <c r="N73" s="3"/>
      <c r="O73" s="3"/>
      <c r="P73" s="3"/>
      <c r="Q73" s="3"/>
      <c r="R73" s="3"/>
      <c r="S73" s="3"/>
      <c r="T73" s="3"/>
      <c r="U73" s="3"/>
      <c r="V73" s="3"/>
      <c r="W73" s="3"/>
      <c r="X73" s="3"/>
      <c r="Y73" s="3"/>
      <c r="Z73" s="3"/>
      <c r="AA73" s="3"/>
      <c r="AB73" s="3"/>
    </row>
    <row r="74">
      <c r="A74" s="20"/>
      <c r="B74" s="20"/>
      <c r="C74" s="20"/>
      <c r="D74" s="20"/>
      <c r="E74" s="20"/>
      <c r="F74" s="20"/>
      <c r="G74" s="20"/>
      <c r="H74" s="20"/>
      <c r="I74" s="20"/>
      <c r="J74" s="3"/>
      <c r="K74" s="3"/>
      <c r="L74" s="3"/>
      <c r="M74" s="3"/>
      <c r="N74" s="3"/>
      <c r="O74" s="3"/>
      <c r="P74" s="3"/>
      <c r="Q74" s="3"/>
      <c r="R74" s="3"/>
      <c r="S74" s="3"/>
      <c r="T74" s="3"/>
      <c r="U74" s="3"/>
      <c r="V74" s="3"/>
      <c r="W74" s="3"/>
      <c r="X74" s="3"/>
      <c r="Y74" s="3"/>
      <c r="Z74" s="3"/>
      <c r="AA74" s="3"/>
      <c r="AB74" s="3"/>
    </row>
    <row r="75">
      <c r="A75" s="20"/>
      <c r="B75" s="20"/>
      <c r="C75" s="20"/>
      <c r="D75" s="20"/>
      <c r="E75" s="20"/>
      <c r="F75" s="20"/>
      <c r="G75" s="20"/>
      <c r="H75" s="20"/>
      <c r="I75" s="20"/>
      <c r="J75" s="3"/>
      <c r="K75" s="3"/>
      <c r="L75" s="3"/>
      <c r="M75" s="3"/>
      <c r="N75" s="3"/>
      <c r="O75" s="3"/>
      <c r="P75" s="3"/>
      <c r="Q75" s="3"/>
      <c r="R75" s="3"/>
      <c r="S75" s="3"/>
      <c r="T75" s="3"/>
      <c r="U75" s="3"/>
      <c r="V75" s="3"/>
      <c r="W75" s="3"/>
      <c r="X75" s="3"/>
      <c r="Y75" s="3"/>
      <c r="Z75" s="3"/>
      <c r="AA75" s="3"/>
      <c r="AB75" s="3"/>
    </row>
    <row r="76">
      <c r="A76" s="20"/>
      <c r="B76" s="20"/>
      <c r="C76" s="20"/>
      <c r="D76" s="20"/>
      <c r="E76" s="20"/>
      <c r="F76" s="20"/>
      <c r="G76" s="20"/>
      <c r="H76" s="20"/>
      <c r="I76" s="20"/>
      <c r="J76" s="3"/>
      <c r="K76" s="3"/>
      <c r="L76" s="3"/>
      <c r="M76" s="3"/>
      <c r="N76" s="3"/>
      <c r="O76" s="3"/>
      <c r="P76" s="3"/>
      <c r="Q76" s="3"/>
      <c r="R76" s="3"/>
      <c r="S76" s="3"/>
      <c r="T76" s="3"/>
      <c r="U76" s="3"/>
      <c r="V76" s="3"/>
      <c r="W76" s="3"/>
      <c r="X76" s="3"/>
      <c r="Y76" s="3"/>
      <c r="Z76" s="3"/>
      <c r="AA76" s="3"/>
      <c r="AB76" s="3"/>
    </row>
    <row r="77">
      <c r="A77" s="20"/>
      <c r="B77" s="20"/>
      <c r="C77" s="20"/>
      <c r="D77" s="20"/>
      <c r="E77" s="20"/>
      <c r="F77" s="20"/>
      <c r="G77" s="20"/>
      <c r="H77" s="20"/>
      <c r="I77" s="20"/>
      <c r="J77" s="3"/>
      <c r="K77" s="3"/>
      <c r="L77" s="3"/>
      <c r="M77" s="3"/>
      <c r="N77" s="3"/>
      <c r="O77" s="3"/>
      <c r="P77" s="3"/>
      <c r="Q77" s="3"/>
      <c r="R77" s="3"/>
      <c r="S77" s="3"/>
      <c r="T77" s="3"/>
      <c r="U77" s="3"/>
      <c r="V77" s="3"/>
      <c r="W77" s="3"/>
      <c r="X77" s="3"/>
      <c r="Y77" s="3"/>
      <c r="Z77" s="3"/>
      <c r="AA77" s="3"/>
      <c r="AB77" s="3"/>
    </row>
    <row r="78">
      <c r="A78" s="20"/>
      <c r="B78" s="20"/>
      <c r="C78" s="20"/>
      <c r="D78" s="20"/>
      <c r="E78" s="20"/>
      <c r="F78" s="20"/>
      <c r="G78" s="20"/>
      <c r="H78" s="20"/>
      <c r="I78" s="20"/>
      <c r="J78" s="3"/>
      <c r="K78" s="3"/>
      <c r="L78" s="3"/>
      <c r="M78" s="3"/>
      <c r="N78" s="3"/>
      <c r="O78" s="3"/>
      <c r="P78" s="3"/>
      <c r="Q78" s="3"/>
      <c r="R78" s="3"/>
      <c r="S78" s="3"/>
      <c r="T78" s="3"/>
      <c r="U78" s="3"/>
      <c r="V78" s="3"/>
      <c r="W78" s="3"/>
      <c r="X78" s="3"/>
      <c r="Y78" s="3"/>
      <c r="Z78" s="3"/>
      <c r="AA78" s="3"/>
      <c r="AB78" s="3"/>
    </row>
    <row r="79">
      <c r="A79" s="20"/>
      <c r="B79" s="20"/>
      <c r="C79" s="20"/>
      <c r="D79" s="20"/>
      <c r="E79" s="20"/>
      <c r="F79" s="20"/>
      <c r="G79" s="20"/>
      <c r="H79" s="20"/>
      <c r="I79" s="20"/>
      <c r="J79" s="3"/>
      <c r="K79" s="3"/>
      <c r="L79" s="3"/>
      <c r="M79" s="3"/>
      <c r="N79" s="3"/>
      <c r="O79" s="3"/>
      <c r="P79" s="3"/>
      <c r="Q79" s="3"/>
      <c r="R79" s="3"/>
      <c r="S79" s="3"/>
      <c r="T79" s="3"/>
      <c r="U79" s="3"/>
      <c r="V79" s="3"/>
      <c r="W79" s="3"/>
      <c r="X79" s="3"/>
      <c r="Y79" s="3"/>
      <c r="Z79" s="3"/>
      <c r="AA79" s="3"/>
      <c r="AB79" s="3"/>
    </row>
    <row r="80">
      <c r="A80" s="20"/>
      <c r="B80" s="20"/>
      <c r="C80" s="20"/>
      <c r="D80" s="20"/>
      <c r="E80" s="20"/>
      <c r="F80" s="20"/>
      <c r="G80" s="20"/>
      <c r="H80" s="20"/>
      <c r="I80" s="20"/>
      <c r="J80" s="3"/>
      <c r="K80" s="3"/>
      <c r="L80" s="3"/>
      <c r="M80" s="3"/>
      <c r="N80" s="3"/>
      <c r="O80" s="3"/>
      <c r="P80" s="3"/>
      <c r="Q80" s="3"/>
      <c r="R80" s="3"/>
      <c r="S80" s="3"/>
      <c r="T80" s="3"/>
      <c r="U80" s="3"/>
      <c r="V80" s="3"/>
      <c r="W80" s="3"/>
      <c r="X80" s="3"/>
      <c r="Y80" s="3"/>
      <c r="Z80" s="3"/>
      <c r="AA80" s="3"/>
      <c r="AB80" s="3"/>
    </row>
    <row r="81">
      <c r="A81" s="20"/>
      <c r="B81" s="20"/>
      <c r="C81" s="20"/>
      <c r="D81" s="20"/>
      <c r="E81" s="20"/>
      <c r="F81" s="20"/>
      <c r="G81" s="20"/>
      <c r="H81" s="20"/>
      <c r="I81" s="20"/>
      <c r="J81" s="3"/>
      <c r="K81" s="3"/>
      <c r="L81" s="3"/>
      <c r="M81" s="3"/>
      <c r="N81" s="3"/>
      <c r="O81" s="3"/>
      <c r="P81" s="3"/>
      <c r="Q81" s="3"/>
      <c r="R81" s="3"/>
      <c r="S81" s="3"/>
      <c r="T81" s="3"/>
      <c r="U81" s="3"/>
      <c r="V81" s="3"/>
      <c r="W81" s="3"/>
      <c r="X81" s="3"/>
      <c r="Y81" s="3"/>
      <c r="Z81" s="3"/>
      <c r="AA81" s="3"/>
      <c r="AB81" s="3"/>
    </row>
    <row r="82">
      <c r="A82" s="20"/>
      <c r="B82" s="20"/>
      <c r="C82" s="20"/>
      <c r="D82" s="20"/>
      <c r="E82" s="20"/>
      <c r="F82" s="20"/>
      <c r="G82" s="20"/>
      <c r="H82" s="20"/>
      <c r="I82" s="20"/>
      <c r="J82" s="3"/>
      <c r="K82" s="3"/>
      <c r="L82" s="3"/>
      <c r="M82" s="3"/>
      <c r="N82" s="3"/>
      <c r="O82" s="3"/>
      <c r="P82" s="3"/>
      <c r="Q82" s="3"/>
      <c r="R82" s="3"/>
      <c r="S82" s="3"/>
      <c r="T82" s="3"/>
      <c r="U82" s="3"/>
      <c r="V82" s="3"/>
      <c r="W82" s="3"/>
      <c r="X82" s="3"/>
      <c r="Y82" s="3"/>
      <c r="Z82" s="3"/>
      <c r="AA82" s="3"/>
      <c r="AB82" s="3"/>
    </row>
    <row r="83">
      <c r="A83" s="20"/>
      <c r="B83" s="20"/>
      <c r="C83" s="20"/>
      <c r="D83" s="20"/>
      <c r="E83" s="20"/>
      <c r="F83" s="20"/>
      <c r="G83" s="20"/>
      <c r="H83" s="20"/>
      <c r="I83" s="20"/>
      <c r="J83" s="3"/>
      <c r="K83" s="3"/>
      <c r="L83" s="3"/>
      <c r="M83" s="3"/>
      <c r="N83" s="3"/>
      <c r="O83" s="3"/>
      <c r="P83" s="3"/>
      <c r="Q83" s="3"/>
      <c r="R83" s="3"/>
      <c r="S83" s="3"/>
      <c r="T83" s="3"/>
      <c r="U83" s="3"/>
      <c r="V83" s="3"/>
      <c r="W83" s="3"/>
      <c r="X83" s="3"/>
      <c r="Y83" s="3"/>
      <c r="Z83" s="3"/>
      <c r="AA83" s="3"/>
      <c r="AB83" s="3"/>
    </row>
    <row r="84">
      <c r="A84" s="20"/>
      <c r="B84" s="20"/>
      <c r="C84" s="20"/>
      <c r="D84" s="20"/>
      <c r="E84" s="20"/>
      <c r="F84" s="20"/>
      <c r="G84" s="20"/>
      <c r="H84" s="20"/>
      <c r="I84" s="20"/>
      <c r="J84" s="3"/>
      <c r="K84" s="3"/>
      <c r="L84" s="3"/>
      <c r="M84" s="3"/>
      <c r="N84" s="3"/>
      <c r="O84" s="3"/>
      <c r="P84" s="3"/>
      <c r="Q84" s="3"/>
      <c r="R84" s="3"/>
      <c r="S84" s="3"/>
      <c r="T84" s="3"/>
      <c r="U84" s="3"/>
      <c r="V84" s="3"/>
      <c r="W84" s="3"/>
      <c r="X84" s="3"/>
      <c r="Y84" s="3"/>
      <c r="Z84" s="3"/>
      <c r="AA84" s="3"/>
      <c r="AB84" s="3"/>
    </row>
    <row r="85">
      <c r="A85" s="20"/>
      <c r="B85" s="20"/>
      <c r="C85" s="20"/>
      <c r="D85" s="20"/>
      <c r="E85" s="20"/>
      <c r="F85" s="20"/>
      <c r="G85" s="20"/>
      <c r="H85" s="20"/>
      <c r="I85" s="20"/>
      <c r="J85" s="3"/>
      <c r="K85" s="3"/>
      <c r="L85" s="3"/>
      <c r="M85" s="3"/>
      <c r="N85" s="3"/>
      <c r="O85" s="3"/>
      <c r="P85" s="3"/>
      <c r="Q85" s="3"/>
      <c r="R85" s="3"/>
      <c r="S85" s="3"/>
      <c r="T85" s="3"/>
      <c r="U85" s="3"/>
      <c r="V85" s="3"/>
      <c r="W85" s="3"/>
      <c r="X85" s="3"/>
      <c r="Y85" s="3"/>
      <c r="Z85" s="3"/>
      <c r="AA85" s="3"/>
      <c r="AB85" s="3"/>
    </row>
    <row r="86">
      <c r="A86" s="20"/>
      <c r="B86" s="20"/>
      <c r="C86" s="20"/>
      <c r="D86" s="20"/>
      <c r="E86" s="20"/>
      <c r="F86" s="20"/>
      <c r="G86" s="20"/>
      <c r="H86" s="20"/>
      <c r="I86" s="20"/>
      <c r="J86" s="3"/>
      <c r="K86" s="3"/>
      <c r="L86" s="3"/>
      <c r="M86" s="3"/>
      <c r="N86" s="3"/>
      <c r="O86" s="3"/>
      <c r="P86" s="3"/>
      <c r="Q86" s="3"/>
      <c r="R86" s="3"/>
      <c r="S86" s="3"/>
      <c r="T86" s="3"/>
      <c r="U86" s="3"/>
      <c r="V86" s="3"/>
      <c r="W86" s="3"/>
      <c r="X86" s="3"/>
      <c r="Y86" s="3"/>
      <c r="Z86" s="3"/>
      <c r="AA86" s="3"/>
      <c r="AB86" s="3"/>
    </row>
    <row r="87">
      <c r="A87" s="20"/>
      <c r="B87" s="20"/>
      <c r="C87" s="20"/>
      <c r="D87" s="20"/>
      <c r="E87" s="20"/>
      <c r="F87" s="20"/>
      <c r="G87" s="20"/>
      <c r="H87" s="20"/>
      <c r="I87" s="20"/>
      <c r="J87" s="3"/>
      <c r="K87" s="3"/>
      <c r="L87" s="3"/>
      <c r="M87" s="3"/>
      <c r="N87" s="3"/>
      <c r="O87" s="3"/>
      <c r="P87" s="3"/>
      <c r="Q87" s="3"/>
      <c r="R87" s="3"/>
      <c r="S87" s="3"/>
      <c r="T87" s="3"/>
      <c r="U87" s="3"/>
      <c r="V87" s="3"/>
      <c r="W87" s="3"/>
      <c r="X87" s="3"/>
      <c r="Y87" s="3"/>
      <c r="Z87" s="3"/>
      <c r="AA87" s="3"/>
      <c r="AB87" s="3"/>
    </row>
    <row r="88">
      <c r="A88" s="20"/>
      <c r="B88" s="20"/>
      <c r="C88" s="20"/>
      <c r="D88" s="20"/>
      <c r="E88" s="20"/>
      <c r="F88" s="20"/>
      <c r="G88" s="20"/>
      <c r="H88" s="20"/>
      <c r="I88" s="20"/>
      <c r="J88" s="3"/>
      <c r="K88" s="3"/>
      <c r="L88" s="3"/>
      <c r="M88" s="3"/>
      <c r="N88" s="3"/>
      <c r="O88" s="3"/>
      <c r="P88" s="3"/>
      <c r="Q88" s="3"/>
      <c r="R88" s="3"/>
      <c r="S88" s="3"/>
      <c r="T88" s="3"/>
      <c r="U88" s="3"/>
      <c r="V88" s="3"/>
      <c r="W88" s="3"/>
      <c r="X88" s="3"/>
      <c r="Y88" s="3"/>
      <c r="Z88" s="3"/>
      <c r="AA88" s="3"/>
      <c r="AB88" s="3"/>
    </row>
    <row r="89">
      <c r="A89" s="20"/>
      <c r="B89" s="20"/>
      <c r="C89" s="20"/>
      <c r="D89" s="20"/>
      <c r="E89" s="20"/>
      <c r="F89" s="20"/>
      <c r="G89" s="20"/>
      <c r="H89" s="20"/>
      <c r="I89" s="20"/>
      <c r="J89" s="3"/>
      <c r="K89" s="3"/>
      <c r="L89" s="3"/>
      <c r="M89" s="3"/>
      <c r="N89" s="3"/>
      <c r="O89" s="3"/>
      <c r="P89" s="3"/>
      <c r="Q89" s="3"/>
      <c r="R89" s="3"/>
      <c r="S89" s="3"/>
      <c r="T89" s="3"/>
      <c r="U89" s="3"/>
      <c r="V89" s="3"/>
      <c r="W89" s="3"/>
      <c r="X89" s="3"/>
      <c r="Y89" s="3"/>
      <c r="Z89" s="3"/>
      <c r="AA89" s="3"/>
      <c r="AB89" s="3"/>
    </row>
    <row r="90">
      <c r="A90" s="20"/>
      <c r="B90" s="20"/>
      <c r="C90" s="20"/>
      <c r="D90" s="20"/>
      <c r="E90" s="20"/>
      <c r="F90" s="20"/>
      <c r="G90" s="20"/>
      <c r="H90" s="20"/>
      <c r="I90" s="20"/>
      <c r="J90" s="3"/>
      <c r="K90" s="3"/>
      <c r="L90" s="3"/>
      <c r="M90" s="3"/>
      <c r="N90" s="3"/>
      <c r="O90" s="3"/>
      <c r="P90" s="3"/>
      <c r="Q90" s="3"/>
      <c r="R90" s="3"/>
      <c r="S90" s="3"/>
      <c r="T90" s="3"/>
      <c r="U90" s="3"/>
      <c r="V90" s="3"/>
      <c r="W90" s="3"/>
      <c r="X90" s="3"/>
      <c r="Y90" s="3"/>
      <c r="Z90" s="3"/>
      <c r="AA90" s="3"/>
      <c r="AB90" s="3"/>
    </row>
    <row r="91">
      <c r="A91" s="20"/>
      <c r="B91" s="20"/>
      <c r="C91" s="20"/>
      <c r="D91" s="20"/>
      <c r="E91" s="20"/>
      <c r="F91" s="20"/>
      <c r="G91" s="20"/>
      <c r="H91" s="20"/>
      <c r="I91" s="20"/>
      <c r="J91" s="3"/>
      <c r="K91" s="3"/>
      <c r="L91" s="3"/>
      <c r="M91" s="3"/>
      <c r="N91" s="3"/>
      <c r="O91" s="3"/>
      <c r="P91" s="3"/>
      <c r="Q91" s="3"/>
      <c r="R91" s="3"/>
      <c r="S91" s="3"/>
      <c r="T91" s="3"/>
      <c r="U91" s="3"/>
      <c r="V91" s="3"/>
      <c r="W91" s="3"/>
      <c r="X91" s="3"/>
      <c r="Y91" s="3"/>
      <c r="Z91" s="3"/>
      <c r="AA91" s="3"/>
      <c r="AB91" s="3"/>
    </row>
    <row r="92">
      <c r="A92" s="20"/>
      <c r="B92" s="20"/>
      <c r="C92" s="20"/>
      <c r="D92" s="20"/>
      <c r="E92" s="20"/>
      <c r="F92" s="20"/>
      <c r="G92" s="20"/>
      <c r="H92" s="20"/>
      <c r="I92" s="20"/>
      <c r="J92" s="3"/>
      <c r="K92" s="3"/>
      <c r="L92" s="3"/>
      <c r="M92" s="3"/>
      <c r="N92" s="3"/>
      <c r="O92" s="3"/>
      <c r="P92" s="3"/>
      <c r="Q92" s="3"/>
      <c r="R92" s="3"/>
      <c r="S92" s="3"/>
      <c r="T92" s="3"/>
      <c r="U92" s="3"/>
      <c r="V92" s="3"/>
      <c r="W92" s="3"/>
      <c r="X92" s="3"/>
      <c r="Y92" s="3"/>
      <c r="Z92" s="3"/>
      <c r="AA92" s="3"/>
      <c r="AB92" s="3"/>
    </row>
    <row r="93">
      <c r="A93" s="20"/>
      <c r="B93" s="20"/>
      <c r="C93" s="20"/>
      <c r="D93" s="20"/>
      <c r="E93" s="20"/>
      <c r="F93" s="20"/>
      <c r="G93" s="20"/>
      <c r="H93" s="20"/>
      <c r="I93" s="20"/>
      <c r="J93" s="3"/>
      <c r="K93" s="3"/>
      <c r="L93" s="3"/>
      <c r="M93" s="3"/>
      <c r="N93" s="3"/>
      <c r="O93" s="3"/>
      <c r="P93" s="3"/>
      <c r="Q93" s="3"/>
      <c r="R93" s="3"/>
      <c r="S93" s="3"/>
      <c r="T93" s="3"/>
      <c r="U93" s="3"/>
      <c r="V93" s="3"/>
      <c r="W93" s="3"/>
      <c r="X93" s="3"/>
      <c r="Y93" s="3"/>
      <c r="Z93" s="3"/>
      <c r="AA93" s="3"/>
      <c r="AB93" s="3"/>
    </row>
    <row r="94">
      <c r="A94" s="20"/>
      <c r="B94" s="20"/>
      <c r="C94" s="20"/>
      <c r="D94" s="20"/>
      <c r="E94" s="20"/>
      <c r="F94" s="20"/>
      <c r="G94" s="20"/>
      <c r="H94" s="20"/>
      <c r="I94" s="20"/>
      <c r="J94" s="3"/>
      <c r="K94" s="3"/>
      <c r="L94" s="3"/>
      <c r="M94" s="3"/>
      <c r="N94" s="3"/>
      <c r="O94" s="3"/>
      <c r="P94" s="3"/>
      <c r="Q94" s="3"/>
      <c r="R94" s="3"/>
      <c r="S94" s="3"/>
      <c r="T94" s="3"/>
      <c r="U94" s="3"/>
      <c r="V94" s="3"/>
      <c r="W94" s="3"/>
      <c r="X94" s="3"/>
      <c r="Y94" s="3"/>
      <c r="Z94" s="3"/>
      <c r="AA94" s="3"/>
      <c r="AB94" s="3"/>
    </row>
    <row r="95">
      <c r="A95" s="20"/>
      <c r="B95" s="20"/>
      <c r="C95" s="20"/>
      <c r="D95" s="20"/>
      <c r="E95" s="20"/>
      <c r="F95" s="20"/>
      <c r="G95" s="20"/>
      <c r="H95" s="20"/>
      <c r="I95" s="20"/>
      <c r="J95" s="3"/>
      <c r="K95" s="3"/>
      <c r="L95" s="3"/>
      <c r="M95" s="3"/>
      <c r="N95" s="3"/>
      <c r="O95" s="3"/>
      <c r="P95" s="3"/>
      <c r="Q95" s="3"/>
      <c r="R95" s="3"/>
      <c r="S95" s="3"/>
      <c r="T95" s="3"/>
      <c r="U95" s="3"/>
      <c r="V95" s="3"/>
      <c r="W95" s="3"/>
      <c r="X95" s="3"/>
      <c r="Y95" s="3"/>
      <c r="Z95" s="3"/>
      <c r="AA95" s="3"/>
      <c r="AB95" s="3"/>
    </row>
    <row r="96">
      <c r="A96" s="20"/>
      <c r="B96" s="20"/>
      <c r="C96" s="20"/>
      <c r="D96" s="20"/>
      <c r="E96" s="20"/>
      <c r="F96" s="20"/>
      <c r="G96" s="20"/>
      <c r="H96" s="20"/>
      <c r="I96" s="20"/>
      <c r="J96" s="3"/>
      <c r="K96" s="3"/>
      <c r="L96" s="3"/>
      <c r="M96" s="3"/>
      <c r="N96" s="3"/>
      <c r="O96" s="3"/>
      <c r="P96" s="3"/>
      <c r="Q96" s="3"/>
      <c r="R96" s="3"/>
      <c r="S96" s="3"/>
      <c r="T96" s="3"/>
      <c r="U96" s="3"/>
      <c r="V96" s="3"/>
      <c r="W96" s="3"/>
      <c r="X96" s="3"/>
      <c r="Y96" s="3"/>
      <c r="Z96" s="3"/>
      <c r="AA96" s="3"/>
      <c r="AB96" s="3"/>
    </row>
    <row r="97">
      <c r="A97" s="20"/>
      <c r="B97" s="20"/>
      <c r="C97" s="20"/>
      <c r="D97" s="20"/>
      <c r="E97" s="20"/>
      <c r="F97" s="20"/>
      <c r="G97" s="20"/>
      <c r="H97" s="20"/>
      <c r="I97" s="20"/>
      <c r="J97" s="3"/>
      <c r="K97" s="3"/>
      <c r="L97" s="3"/>
      <c r="M97" s="3"/>
      <c r="N97" s="3"/>
      <c r="O97" s="3"/>
      <c r="P97" s="3"/>
      <c r="Q97" s="3"/>
      <c r="R97" s="3"/>
      <c r="S97" s="3"/>
      <c r="T97" s="3"/>
      <c r="U97" s="3"/>
      <c r="V97" s="3"/>
      <c r="W97" s="3"/>
      <c r="X97" s="3"/>
      <c r="Y97" s="3"/>
      <c r="Z97" s="3"/>
      <c r="AA97" s="3"/>
      <c r="AB97" s="3"/>
    </row>
    <row r="98">
      <c r="A98" s="20"/>
      <c r="B98" s="20"/>
      <c r="C98" s="20"/>
      <c r="D98" s="20"/>
      <c r="E98" s="20"/>
      <c r="F98" s="20"/>
      <c r="G98" s="20"/>
      <c r="H98" s="20"/>
      <c r="I98" s="20"/>
      <c r="J98" s="3"/>
      <c r="K98" s="3"/>
      <c r="L98" s="3"/>
      <c r="M98" s="3"/>
      <c r="N98" s="3"/>
      <c r="O98" s="3"/>
      <c r="P98" s="3"/>
      <c r="Q98" s="3"/>
      <c r="R98" s="3"/>
      <c r="S98" s="3"/>
      <c r="T98" s="3"/>
      <c r="U98" s="3"/>
      <c r="V98" s="3"/>
      <c r="W98" s="3"/>
      <c r="X98" s="3"/>
      <c r="Y98" s="3"/>
      <c r="Z98" s="3"/>
      <c r="AA98" s="3"/>
      <c r="AB98" s="3"/>
    </row>
    <row r="99">
      <c r="A99" s="20"/>
      <c r="B99" s="20"/>
      <c r="C99" s="20"/>
      <c r="D99" s="20"/>
      <c r="E99" s="20"/>
      <c r="F99" s="20"/>
      <c r="G99" s="20"/>
      <c r="H99" s="20"/>
      <c r="I99" s="20"/>
      <c r="J99" s="3"/>
      <c r="K99" s="3"/>
      <c r="L99" s="3"/>
      <c r="M99" s="3"/>
      <c r="N99" s="3"/>
      <c r="O99" s="3"/>
      <c r="P99" s="3"/>
      <c r="Q99" s="3"/>
      <c r="R99" s="3"/>
      <c r="S99" s="3"/>
      <c r="T99" s="3"/>
      <c r="U99" s="3"/>
      <c r="V99" s="3"/>
      <c r="W99" s="3"/>
      <c r="X99" s="3"/>
      <c r="Y99" s="3"/>
      <c r="Z99" s="3"/>
      <c r="AA99" s="3"/>
      <c r="AB99" s="3"/>
    </row>
    <row r="100">
      <c r="A100" s="20"/>
      <c r="B100" s="20"/>
      <c r="C100" s="20"/>
      <c r="D100" s="20"/>
      <c r="E100" s="20"/>
      <c r="F100" s="20"/>
      <c r="G100" s="20"/>
      <c r="H100" s="20"/>
      <c r="I100" s="20"/>
      <c r="J100" s="3"/>
      <c r="K100" s="3"/>
      <c r="L100" s="3"/>
      <c r="M100" s="3"/>
      <c r="N100" s="3"/>
      <c r="O100" s="3"/>
      <c r="P100" s="3"/>
      <c r="Q100" s="3"/>
      <c r="R100" s="3"/>
      <c r="S100" s="3"/>
      <c r="T100" s="3"/>
      <c r="U100" s="3"/>
      <c r="V100" s="3"/>
      <c r="W100" s="3"/>
      <c r="X100" s="3"/>
      <c r="Y100" s="3"/>
      <c r="Z100" s="3"/>
      <c r="AA100" s="3"/>
      <c r="AB100" s="3"/>
    </row>
    <row r="101">
      <c r="A101" s="20"/>
      <c r="B101" s="20"/>
      <c r="C101" s="20"/>
      <c r="D101" s="20"/>
      <c r="E101" s="20"/>
      <c r="F101" s="20"/>
      <c r="G101" s="20"/>
      <c r="H101" s="20"/>
      <c r="I101" s="20"/>
      <c r="J101" s="3"/>
      <c r="K101" s="3"/>
      <c r="L101" s="3"/>
      <c r="M101" s="3"/>
      <c r="N101" s="3"/>
      <c r="O101" s="3"/>
      <c r="P101" s="3"/>
      <c r="Q101" s="3"/>
      <c r="R101" s="3"/>
      <c r="S101" s="3"/>
      <c r="T101" s="3"/>
      <c r="U101" s="3"/>
      <c r="V101" s="3"/>
      <c r="W101" s="3"/>
      <c r="X101" s="3"/>
      <c r="Y101" s="3"/>
      <c r="Z101" s="3"/>
      <c r="AA101" s="3"/>
      <c r="AB101" s="3"/>
    </row>
    <row r="102">
      <c r="A102" s="20"/>
      <c r="B102" s="20"/>
      <c r="C102" s="20"/>
      <c r="D102" s="20"/>
      <c r="E102" s="20"/>
      <c r="F102" s="20"/>
      <c r="G102" s="20"/>
      <c r="H102" s="20"/>
      <c r="I102" s="20"/>
      <c r="J102" s="3"/>
      <c r="K102" s="3"/>
      <c r="L102" s="3"/>
      <c r="M102" s="3"/>
      <c r="N102" s="3"/>
      <c r="O102" s="3"/>
      <c r="P102" s="3"/>
      <c r="Q102" s="3"/>
      <c r="R102" s="3"/>
      <c r="S102" s="3"/>
      <c r="T102" s="3"/>
      <c r="U102" s="3"/>
      <c r="V102" s="3"/>
      <c r="W102" s="3"/>
      <c r="X102" s="3"/>
      <c r="Y102" s="3"/>
      <c r="Z102" s="3"/>
      <c r="AA102" s="3"/>
      <c r="AB102" s="3"/>
    </row>
    <row r="103">
      <c r="A103" s="20"/>
      <c r="B103" s="20"/>
      <c r="C103" s="20"/>
      <c r="D103" s="20"/>
      <c r="E103" s="20"/>
      <c r="F103" s="20"/>
      <c r="G103" s="20"/>
      <c r="H103" s="20"/>
      <c r="I103" s="20"/>
      <c r="J103" s="3"/>
      <c r="K103" s="3"/>
      <c r="L103" s="3"/>
      <c r="M103" s="3"/>
      <c r="N103" s="3"/>
      <c r="O103" s="3"/>
      <c r="P103" s="3"/>
      <c r="Q103" s="3"/>
      <c r="R103" s="3"/>
      <c r="S103" s="3"/>
      <c r="T103" s="3"/>
      <c r="U103" s="3"/>
      <c r="V103" s="3"/>
      <c r="W103" s="3"/>
      <c r="X103" s="3"/>
      <c r="Y103" s="3"/>
      <c r="Z103" s="3"/>
      <c r="AA103" s="3"/>
      <c r="AB103" s="3"/>
    </row>
    <row r="104">
      <c r="A104" s="20"/>
      <c r="B104" s="20"/>
      <c r="C104" s="20"/>
      <c r="D104" s="20"/>
      <c r="E104" s="20"/>
      <c r="F104" s="20"/>
      <c r="G104" s="20"/>
      <c r="H104" s="20"/>
      <c r="I104" s="20"/>
      <c r="J104" s="3"/>
      <c r="K104" s="3"/>
      <c r="L104" s="3"/>
      <c r="M104" s="3"/>
      <c r="N104" s="3"/>
      <c r="O104" s="3"/>
      <c r="P104" s="3"/>
      <c r="Q104" s="3"/>
      <c r="R104" s="3"/>
      <c r="S104" s="3"/>
      <c r="T104" s="3"/>
      <c r="U104" s="3"/>
      <c r="V104" s="3"/>
      <c r="W104" s="3"/>
      <c r="X104" s="3"/>
      <c r="Y104" s="3"/>
      <c r="Z104" s="3"/>
      <c r="AA104" s="3"/>
      <c r="AB104" s="3"/>
    </row>
    <row r="105">
      <c r="A105" s="20"/>
      <c r="B105" s="20"/>
      <c r="C105" s="20"/>
      <c r="D105" s="20"/>
      <c r="E105" s="20"/>
      <c r="F105" s="20"/>
      <c r="G105" s="20"/>
      <c r="H105" s="20"/>
      <c r="I105" s="20"/>
      <c r="J105" s="3"/>
      <c r="K105" s="3"/>
      <c r="L105" s="3"/>
      <c r="M105" s="3"/>
      <c r="N105" s="3"/>
      <c r="O105" s="3"/>
      <c r="P105" s="3"/>
      <c r="Q105" s="3"/>
      <c r="R105" s="3"/>
      <c r="S105" s="3"/>
      <c r="T105" s="3"/>
      <c r="U105" s="3"/>
      <c r="V105" s="3"/>
      <c r="W105" s="3"/>
      <c r="X105" s="3"/>
      <c r="Y105" s="3"/>
      <c r="Z105" s="3"/>
      <c r="AA105" s="3"/>
      <c r="AB105" s="3"/>
    </row>
    <row r="106">
      <c r="A106" s="20"/>
      <c r="B106" s="20"/>
      <c r="C106" s="20"/>
      <c r="D106" s="20"/>
      <c r="E106" s="20"/>
      <c r="F106" s="20"/>
      <c r="G106" s="20"/>
      <c r="H106" s="20"/>
      <c r="I106" s="20"/>
      <c r="J106" s="3"/>
      <c r="K106" s="3"/>
      <c r="L106" s="3"/>
      <c r="M106" s="3"/>
      <c r="N106" s="3"/>
      <c r="O106" s="3"/>
      <c r="P106" s="3"/>
      <c r="Q106" s="3"/>
      <c r="R106" s="3"/>
      <c r="S106" s="3"/>
      <c r="T106" s="3"/>
      <c r="U106" s="3"/>
      <c r="V106" s="3"/>
      <c r="W106" s="3"/>
      <c r="X106" s="3"/>
      <c r="Y106" s="3"/>
      <c r="Z106" s="3"/>
      <c r="AA106" s="3"/>
      <c r="AB106" s="3"/>
    </row>
    <row r="107">
      <c r="A107" s="20"/>
      <c r="B107" s="20"/>
      <c r="C107" s="20"/>
      <c r="D107" s="20"/>
      <c r="E107" s="20"/>
      <c r="F107" s="20"/>
      <c r="G107" s="20"/>
      <c r="H107" s="20"/>
      <c r="I107" s="20"/>
      <c r="J107" s="3"/>
      <c r="K107" s="3"/>
      <c r="L107" s="3"/>
      <c r="M107" s="3"/>
      <c r="N107" s="3"/>
      <c r="O107" s="3"/>
      <c r="P107" s="3"/>
      <c r="Q107" s="3"/>
      <c r="R107" s="3"/>
      <c r="S107" s="3"/>
      <c r="T107" s="3"/>
      <c r="U107" s="3"/>
      <c r="V107" s="3"/>
      <c r="W107" s="3"/>
      <c r="X107" s="3"/>
      <c r="Y107" s="3"/>
      <c r="Z107" s="3"/>
      <c r="AA107" s="3"/>
      <c r="AB107" s="3"/>
    </row>
    <row r="108">
      <c r="A108" s="20"/>
      <c r="B108" s="20"/>
      <c r="C108" s="20"/>
      <c r="D108" s="20"/>
      <c r="E108" s="20"/>
      <c r="F108" s="20"/>
      <c r="G108" s="20"/>
      <c r="H108" s="20"/>
      <c r="I108" s="20"/>
      <c r="J108" s="3"/>
      <c r="K108" s="3"/>
      <c r="L108" s="3"/>
      <c r="M108" s="3"/>
      <c r="N108" s="3"/>
      <c r="O108" s="3"/>
      <c r="P108" s="3"/>
      <c r="Q108" s="3"/>
      <c r="R108" s="3"/>
      <c r="S108" s="3"/>
      <c r="T108" s="3"/>
      <c r="U108" s="3"/>
      <c r="V108" s="3"/>
      <c r="W108" s="3"/>
      <c r="X108" s="3"/>
      <c r="Y108" s="3"/>
      <c r="Z108" s="3"/>
      <c r="AA108" s="3"/>
      <c r="AB108" s="3"/>
    </row>
    <row r="109">
      <c r="A109" s="20"/>
      <c r="B109" s="20"/>
      <c r="C109" s="20"/>
      <c r="D109" s="20"/>
      <c r="E109" s="20"/>
      <c r="F109" s="20"/>
      <c r="G109" s="20"/>
      <c r="H109" s="20"/>
      <c r="I109" s="20"/>
      <c r="J109" s="3"/>
      <c r="K109" s="3"/>
      <c r="L109" s="3"/>
      <c r="M109" s="3"/>
      <c r="N109" s="3"/>
      <c r="O109" s="3"/>
      <c r="P109" s="3"/>
      <c r="Q109" s="3"/>
      <c r="R109" s="3"/>
      <c r="S109" s="3"/>
      <c r="T109" s="3"/>
      <c r="U109" s="3"/>
      <c r="V109" s="3"/>
      <c r="W109" s="3"/>
      <c r="X109" s="3"/>
      <c r="Y109" s="3"/>
      <c r="Z109" s="3"/>
      <c r="AA109" s="3"/>
      <c r="AB109" s="3"/>
    </row>
    <row r="110">
      <c r="A110" s="20"/>
      <c r="B110" s="20"/>
      <c r="C110" s="20"/>
      <c r="D110" s="20"/>
      <c r="E110" s="20"/>
      <c r="F110" s="20"/>
      <c r="G110" s="20"/>
      <c r="H110" s="20"/>
      <c r="I110" s="20"/>
      <c r="J110" s="3"/>
      <c r="K110" s="3"/>
      <c r="L110" s="3"/>
      <c r="M110" s="3"/>
      <c r="N110" s="3"/>
      <c r="O110" s="3"/>
      <c r="P110" s="3"/>
      <c r="Q110" s="3"/>
      <c r="R110" s="3"/>
      <c r="S110" s="3"/>
      <c r="T110" s="3"/>
      <c r="U110" s="3"/>
      <c r="V110" s="3"/>
      <c r="W110" s="3"/>
      <c r="X110" s="3"/>
      <c r="Y110" s="3"/>
      <c r="Z110" s="3"/>
      <c r="AA110" s="3"/>
      <c r="AB110" s="3"/>
    </row>
    <row r="111">
      <c r="A111" s="20"/>
      <c r="B111" s="20"/>
      <c r="C111" s="20"/>
      <c r="D111" s="20"/>
      <c r="E111" s="20"/>
      <c r="F111" s="20"/>
      <c r="G111" s="20"/>
      <c r="H111" s="20"/>
      <c r="I111" s="20"/>
      <c r="J111" s="3"/>
      <c r="K111" s="3"/>
      <c r="L111" s="3"/>
      <c r="M111" s="3"/>
      <c r="N111" s="3"/>
      <c r="O111" s="3"/>
      <c r="P111" s="3"/>
      <c r="Q111" s="3"/>
      <c r="R111" s="3"/>
      <c r="S111" s="3"/>
      <c r="T111" s="3"/>
      <c r="U111" s="3"/>
      <c r="V111" s="3"/>
      <c r="W111" s="3"/>
      <c r="X111" s="3"/>
      <c r="Y111" s="3"/>
      <c r="Z111" s="3"/>
      <c r="AA111" s="3"/>
      <c r="AB111" s="3"/>
    </row>
    <row r="112">
      <c r="A112" s="20"/>
      <c r="B112" s="20"/>
      <c r="C112" s="20"/>
      <c r="D112" s="20"/>
      <c r="E112" s="20"/>
      <c r="F112" s="20"/>
      <c r="G112" s="20"/>
      <c r="H112" s="20"/>
      <c r="I112" s="20"/>
      <c r="J112" s="3"/>
      <c r="K112" s="3"/>
      <c r="L112" s="3"/>
      <c r="M112" s="3"/>
      <c r="N112" s="3"/>
      <c r="O112" s="3"/>
      <c r="P112" s="3"/>
      <c r="Q112" s="3"/>
      <c r="R112" s="3"/>
      <c r="S112" s="3"/>
      <c r="T112" s="3"/>
      <c r="U112" s="3"/>
      <c r="V112" s="3"/>
      <c r="W112" s="3"/>
      <c r="X112" s="3"/>
      <c r="Y112" s="3"/>
      <c r="Z112" s="3"/>
      <c r="AA112" s="3"/>
      <c r="AB112" s="3"/>
    </row>
    <row r="113">
      <c r="A113" s="20"/>
      <c r="B113" s="20"/>
      <c r="C113" s="20"/>
      <c r="D113" s="20"/>
      <c r="E113" s="20"/>
      <c r="F113" s="20"/>
      <c r="G113" s="20"/>
      <c r="H113" s="20"/>
      <c r="I113" s="20"/>
      <c r="J113" s="3"/>
      <c r="K113" s="3"/>
      <c r="L113" s="3"/>
      <c r="M113" s="3"/>
      <c r="N113" s="3"/>
      <c r="O113" s="3"/>
      <c r="P113" s="3"/>
      <c r="Q113" s="3"/>
      <c r="R113" s="3"/>
      <c r="S113" s="3"/>
      <c r="T113" s="3"/>
      <c r="U113" s="3"/>
      <c r="V113" s="3"/>
      <c r="W113" s="3"/>
      <c r="X113" s="3"/>
      <c r="Y113" s="3"/>
      <c r="Z113" s="3"/>
      <c r="AA113" s="3"/>
      <c r="AB113" s="3"/>
    </row>
    <row r="114">
      <c r="A114" s="20"/>
      <c r="B114" s="20"/>
      <c r="C114" s="20"/>
      <c r="D114" s="20"/>
      <c r="E114" s="20"/>
      <c r="F114" s="20"/>
      <c r="G114" s="20"/>
      <c r="H114" s="20"/>
      <c r="I114" s="20"/>
      <c r="J114" s="3"/>
      <c r="K114" s="3"/>
      <c r="L114" s="3"/>
      <c r="M114" s="3"/>
      <c r="N114" s="3"/>
      <c r="O114" s="3"/>
      <c r="P114" s="3"/>
      <c r="Q114" s="3"/>
      <c r="R114" s="3"/>
      <c r="S114" s="3"/>
      <c r="T114" s="3"/>
      <c r="U114" s="3"/>
      <c r="V114" s="3"/>
      <c r="W114" s="3"/>
      <c r="X114" s="3"/>
      <c r="Y114" s="3"/>
      <c r="Z114" s="3"/>
      <c r="AA114" s="3"/>
      <c r="AB114" s="3"/>
    </row>
    <row r="115">
      <c r="A115" s="20"/>
      <c r="B115" s="20"/>
      <c r="C115" s="20"/>
      <c r="D115" s="20"/>
      <c r="E115" s="20"/>
      <c r="F115" s="20"/>
      <c r="G115" s="20"/>
      <c r="H115" s="20"/>
      <c r="I115" s="20"/>
      <c r="J115" s="3"/>
      <c r="K115" s="3"/>
      <c r="L115" s="3"/>
      <c r="M115" s="3"/>
      <c r="N115" s="3"/>
      <c r="O115" s="3"/>
      <c r="P115" s="3"/>
      <c r="Q115" s="3"/>
      <c r="R115" s="3"/>
      <c r="S115" s="3"/>
      <c r="T115" s="3"/>
      <c r="U115" s="3"/>
      <c r="V115" s="3"/>
      <c r="W115" s="3"/>
      <c r="X115" s="3"/>
      <c r="Y115" s="3"/>
      <c r="Z115" s="3"/>
      <c r="AA115" s="3"/>
      <c r="AB115" s="3"/>
    </row>
    <row r="116">
      <c r="A116" s="20"/>
      <c r="B116" s="20"/>
      <c r="C116" s="20"/>
      <c r="D116" s="20"/>
      <c r="E116" s="20"/>
      <c r="F116" s="20"/>
      <c r="G116" s="20"/>
      <c r="H116" s="20"/>
      <c r="I116" s="20"/>
      <c r="J116" s="3"/>
      <c r="K116" s="3"/>
      <c r="L116" s="3"/>
      <c r="M116" s="3"/>
      <c r="N116" s="3"/>
      <c r="O116" s="3"/>
      <c r="P116" s="3"/>
      <c r="Q116" s="3"/>
      <c r="R116" s="3"/>
      <c r="S116" s="3"/>
      <c r="T116" s="3"/>
      <c r="U116" s="3"/>
      <c r="V116" s="3"/>
      <c r="W116" s="3"/>
      <c r="X116" s="3"/>
      <c r="Y116" s="3"/>
      <c r="Z116" s="3"/>
      <c r="AA116" s="3"/>
      <c r="AB116" s="3"/>
    </row>
    <row r="117">
      <c r="A117" s="20"/>
      <c r="B117" s="20"/>
      <c r="C117" s="20"/>
      <c r="D117" s="20"/>
      <c r="E117" s="20"/>
      <c r="F117" s="20"/>
      <c r="G117" s="20"/>
      <c r="H117" s="20"/>
      <c r="I117" s="20"/>
      <c r="J117" s="3"/>
      <c r="K117" s="3"/>
      <c r="L117" s="3"/>
      <c r="M117" s="3"/>
      <c r="N117" s="3"/>
      <c r="O117" s="3"/>
      <c r="P117" s="3"/>
      <c r="Q117" s="3"/>
      <c r="R117" s="3"/>
      <c r="S117" s="3"/>
      <c r="T117" s="3"/>
      <c r="U117" s="3"/>
      <c r="V117" s="3"/>
      <c r="W117" s="3"/>
      <c r="X117" s="3"/>
      <c r="Y117" s="3"/>
      <c r="Z117" s="3"/>
      <c r="AA117" s="3"/>
      <c r="AB117" s="3"/>
    </row>
    <row r="118">
      <c r="A118" s="20"/>
      <c r="B118" s="20"/>
      <c r="C118" s="20"/>
      <c r="D118" s="20"/>
      <c r="E118" s="20"/>
      <c r="F118" s="20"/>
      <c r="G118" s="20"/>
      <c r="H118" s="20"/>
      <c r="I118" s="20"/>
      <c r="J118" s="3"/>
      <c r="K118" s="3"/>
      <c r="L118" s="3"/>
      <c r="M118" s="3"/>
      <c r="N118" s="3"/>
      <c r="O118" s="3"/>
      <c r="P118" s="3"/>
      <c r="Q118" s="3"/>
      <c r="R118" s="3"/>
      <c r="S118" s="3"/>
      <c r="T118" s="3"/>
      <c r="U118" s="3"/>
      <c r="V118" s="3"/>
      <c r="W118" s="3"/>
      <c r="X118" s="3"/>
      <c r="Y118" s="3"/>
      <c r="Z118" s="3"/>
      <c r="AA118" s="3"/>
      <c r="AB118" s="3"/>
    </row>
    <row r="119">
      <c r="A119" s="20"/>
      <c r="B119" s="20"/>
      <c r="C119" s="20"/>
      <c r="D119" s="20"/>
      <c r="E119" s="20"/>
      <c r="F119" s="20"/>
      <c r="G119" s="20"/>
      <c r="H119" s="20"/>
      <c r="I119" s="20"/>
      <c r="J119" s="3"/>
      <c r="K119" s="3"/>
      <c r="L119" s="3"/>
      <c r="M119" s="3"/>
      <c r="N119" s="3"/>
      <c r="O119" s="3"/>
      <c r="P119" s="3"/>
      <c r="Q119" s="3"/>
      <c r="R119" s="3"/>
      <c r="S119" s="3"/>
      <c r="T119" s="3"/>
      <c r="U119" s="3"/>
      <c r="V119" s="3"/>
      <c r="W119" s="3"/>
      <c r="X119" s="3"/>
      <c r="Y119" s="3"/>
      <c r="Z119" s="3"/>
      <c r="AA119" s="3"/>
      <c r="AB119" s="3"/>
    </row>
    <row r="120">
      <c r="A120" s="20"/>
      <c r="B120" s="20"/>
      <c r="C120" s="20"/>
      <c r="D120" s="20"/>
      <c r="E120" s="20"/>
      <c r="F120" s="20"/>
      <c r="G120" s="20"/>
      <c r="H120" s="20"/>
      <c r="I120" s="20"/>
      <c r="J120" s="3"/>
      <c r="K120" s="3"/>
      <c r="L120" s="3"/>
      <c r="M120" s="3"/>
      <c r="N120" s="3"/>
      <c r="O120" s="3"/>
      <c r="P120" s="3"/>
      <c r="Q120" s="3"/>
      <c r="R120" s="3"/>
      <c r="S120" s="3"/>
      <c r="T120" s="3"/>
      <c r="U120" s="3"/>
      <c r="V120" s="3"/>
      <c r="W120" s="3"/>
      <c r="X120" s="3"/>
      <c r="Y120" s="3"/>
      <c r="Z120" s="3"/>
      <c r="AA120" s="3"/>
      <c r="AB120" s="3"/>
    </row>
    <row r="121">
      <c r="A121" s="20"/>
      <c r="B121" s="20"/>
      <c r="C121" s="20"/>
      <c r="D121" s="20"/>
      <c r="E121" s="20"/>
      <c r="F121" s="20"/>
      <c r="G121" s="20"/>
      <c r="H121" s="20"/>
      <c r="I121" s="20"/>
      <c r="J121" s="3"/>
      <c r="K121" s="3"/>
      <c r="L121" s="3"/>
      <c r="M121" s="3"/>
      <c r="N121" s="3"/>
      <c r="O121" s="3"/>
      <c r="P121" s="3"/>
      <c r="Q121" s="3"/>
      <c r="R121" s="3"/>
      <c r="S121" s="3"/>
      <c r="T121" s="3"/>
      <c r="U121" s="3"/>
      <c r="V121" s="3"/>
      <c r="W121" s="3"/>
      <c r="X121" s="3"/>
      <c r="Y121" s="3"/>
      <c r="Z121" s="3"/>
      <c r="AA121" s="3"/>
      <c r="AB121" s="3"/>
    </row>
    <row r="122">
      <c r="A122" s="20"/>
      <c r="B122" s="20"/>
      <c r="C122" s="20"/>
      <c r="D122" s="20"/>
      <c r="E122" s="20"/>
      <c r="F122" s="20"/>
      <c r="G122" s="20"/>
      <c r="H122" s="20"/>
      <c r="I122" s="20"/>
      <c r="J122" s="3"/>
      <c r="K122" s="3"/>
      <c r="L122" s="3"/>
      <c r="M122" s="3"/>
      <c r="N122" s="3"/>
      <c r="O122" s="3"/>
      <c r="P122" s="3"/>
      <c r="Q122" s="3"/>
      <c r="R122" s="3"/>
      <c r="S122" s="3"/>
      <c r="T122" s="3"/>
      <c r="U122" s="3"/>
      <c r="V122" s="3"/>
      <c r="W122" s="3"/>
      <c r="X122" s="3"/>
      <c r="Y122" s="3"/>
      <c r="Z122" s="3"/>
      <c r="AA122" s="3"/>
      <c r="AB122" s="3"/>
    </row>
    <row r="123">
      <c r="A123" s="20"/>
      <c r="B123" s="20"/>
      <c r="C123" s="20"/>
      <c r="D123" s="20"/>
      <c r="E123" s="20"/>
      <c r="F123" s="20"/>
      <c r="G123" s="20"/>
      <c r="H123" s="20"/>
      <c r="I123" s="20"/>
      <c r="J123" s="3"/>
      <c r="K123" s="3"/>
      <c r="L123" s="3"/>
      <c r="M123" s="3"/>
      <c r="N123" s="3"/>
      <c r="O123" s="3"/>
      <c r="P123" s="3"/>
      <c r="Q123" s="3"/>
      <c r="R123" s="3"/>
      <c r="S123" s="3"/>
      <c r="T123" s="3"/>
      <c r="U123" s="3"/>
      <c r="V123" s="3"/>
      <c r="W123" s="3"/>
      <c r="X123" s="3"/>
      <c r="Y123" s="3"/>
      <c r="Z123" s="3"/>
      <c r="AA123" s="3"/>
      <c r="AB123" s="3"/>
    </row>
    <row r="124">
      <c r="A124" s="20"/>
      <c r="B124" s="20"/>
      <c r="C124" s="20"/>
      <c r="D124" s="20"/>
      <c r="E124" s="20"/>
      <c r="F124" s="20"/>
      <c r="G124" s="20"/>
      <c r="H124" s="20"/>
      <c r="I124" s="20"/>
      <c r="J124" s="3"/>
      <c r="K124" s="3"/>
      <c r="L124" s="3"/>
      <c r="M124" s="3"/>
      <c r="N124" s="3"/>
      <c r="O124" s="3"/>
      <c r="P124" s="3"/>
      <c r="Q124" s="3"/>
      <c r="R124" s="3"/>
      <c r="S124" s="3"/>
      <c r="T124" s="3"/>
      <c r="U124" s="3"/>
      <c r="V124" s="3"/>
      <c r="W124" s="3"/>
      <c r="X124" s="3"/>
      <c r="Y124" s="3"/>
      <c r="Z124" s="3"/>
      <c r="AA124" s="3"/>
      <c r="AB124" s="3"/>
    </row>
    <row r="125">
      <c r="A125" s="20"/>
      <c r="B125" s="20"/>
      <c r="C125" s="20"/>
      <c r="D125" s="20"/>
      <c r="E125" s="20"/>
      <c r="F125" s="20"/>
      <c r="G125" s="20"/>
      <c r="H125" s="20"/>
      <c r="I125" s="20"/>
      <c r="J125" s="3"/>
      <c r="K125" s="3"/>
      <c r="L125" s="3"/>
      <c r="M125" s="3"/>
      <c r="N125" s="3"/>
      <c r="O125" s="3"/>
      <c r="P125" s="3"/>
      <c r="Q125" s="3"/>
      <c r="R125" s="3"/>
      <c r="S125" s="3"/>
      <c r="T125" s="3"/>
      <c r="U125" s="3"/>
      <c r="V125" s="3"/>
      <c r="W125" s="3"/>
      <c r="X125" s="3"/>
      <c r="Y125" s="3"/>
      <c r="Z125" s="3"/>
      <c r="AA125" s="3"/>
      <c r="AB125" s="3"/>
    </row>
    <row r="126">
      <c r="A126" s="20"/>
      <c r="B126" s="20"/>
      <c r="C126" s="20"/>
      <c r="D126" s="20"/>
      <c r="E126" s="20"/>
      <c r="F126" s="20"/>
      <c r="G126" s="20"/>
      <c r="H126" s="20"/>
      <c r="I126" s="20"/>
      <c r="J126" s="3"/>
      <c r="K126" s="3"/>
      <c r="L126" s="3"/>
      <c r="M126" s="3"/>
      <c r="N126" s="3"/>
      <c r="O126" s="3"/>
      <c r="P126" s="3"/>
      <c r="Q126" s="3"/>
      <c r="R126" s="3"/>
      <c r="S126" s="3"/>
      <c r="T126" s="3"/>
      <c r="U126" s="3"/>
      <c r="V126" s="3"/>
      <c r="W126" s="3"/>
      <c r="X126" s="3"/>
      <c r="Y126" s="3"/>
      <c r="Z126" s="3"/>
      <c r="AA126" s="3"/>
      <c r="AB126" s="3"/>
    </row>
    <row r="127">
      <c r="A127" s="20"/>
      <c r="B127" s="20"/>
      <c r="C127" s="20"/>
      <c r="D127" s="20"/>
      <c r="E127" s="20"/>
      <c r="F127" s="20"/>
      <c r="G127" s="20"/>
      <c r="H127" s="20"/>
      <c r="I127" s="20"/>
      <c r="J127" s="3"/>
      <c r="K127" s="3"/>
      <c r="L127" s="3"/>
      <c r="M127" s="3"/>
      <c r="N127" s="3"/>
      <c r="O127" s="3"/>
      <c r="P127" s="3"/>
      <c r="Q127" s="3"/>
      <c r="R127" s="3"/>
      <c r="S127" s="3"/>
      <c r="T127" s="3"/>
      <c r="U127" s="3"/>
      <c r="V127" s="3"/>
      <c r="W127" s="3"/>
      <c r="X127" s="3"/>
      <c r="Y127" s="3"/>
      <c r="Z127" s="3"/>
      <c r="AA127" s="3"/>
      <c r="AB127" s="3"/>
    </row>
    <row r="128">
      <c r="A128" s="20"/>
      <c r="B128" s="20"/>
      <c r="C128" s="20"/>
      <c r="D128" s="20"/>
      <c r="E128" s="20"/>
      <c r="F128" s="20"/>
      <c r="G128" s="20"/>
      <c r="H128" s="20"/>
      <c r="I128" s="20"/>
      <c r="J128" s="3"/>
      <c r="K128" s="3"/>
      <c r="L128" s="3"/>
      <c r="M128" s="3"/>
      <c r="N128" s="3"/>
      <c r="O128" s="3"/>
      <c r="P128" s="3"/>
      <c r="Q128" s="3"/>
      <c r="R128" s="3"/>
      <c r="S128" s="3"/>
      <c r="T128" s="3"/>
      <c r="U128" s="3"/>
      <c r="V128" s="3"/>
      <c r="W128" s="3"/>
      <c r="X128" s="3"/>
      <c r="Y128" s="3"/>
      <c r="Z128" s="3"/>
      <c r="AA128" s="3"/>
      <c r="AB128" s="3"/>
    </row>
    <row r="129">
      <c r="A129" s="20"/>
      <c r="B129" s="20"/>
      <c r="C129" s="20"/>
      <c r="D129" s="20"/>
      <c r="E129" s="20"/>
      <c r="F129" s="20"/>
      <c r="G129" s="20"/>
      <c r="H129" s="20"/>
      <c r="I129" s="20"/>
      <c r="J129" s="3"/>
      <c r="K129" s="3"/>
      <c r="L129" s="3"/>
      <c r="M129" s="3"/>
      <c r="N129" s="3"/>
      <c r="O129" s="3"/>
      <c r="P129" s="3"/>
      <c r="Q129" s="3"/>
      <c r="R129" s="3"/>
      <c r="S129" s="3"/>
      <c r="T129" s="3"/>
      <c r="U129" s="3"/>
      <c r="V129" s="3"/>
      <c r="W129" s="3"/>
      <c r="X129" s="3"/>
      <c r="Y129" s="3"/>
      <c r="Z129" s="3"/>
      <c r="AA129" s="3"/>
      <c r="AB129" s="3"/>
    </row>
    <row r="130">
      <c r="A130" s="20"/>
      <c r="B130" s="20"/>
      <c r="C130" s="20"/>
      <c r="D130" s="20"/>
      <c r="E130" s="20"/>
      <c r="F130" s="20"/>
      <c r="G130" s="20"/>
      <c r="H130" s="20"/>
      <c r="I130" s="20"/>
      <c r="J130" s="3"/>
      <c r="K130" s="3"/>
      <c r="L130" s="3"/>
      <c r="M130" s="3"/>
      <c r="N130" s="3"/>
      <c r="O130" s="3"/>
      <c r="P130" s="3"/>
      <c r="Q130" s="3"/>
      <c r="R130" s="3"/>
      <c r="S130" s="3"/>
      <c r="T130" s="3"/>
      <c r="U130" s="3"/>
      <c r="V130" s="3"/>
      <c r="W130" s="3"/>
      <c r="X130" s="3"/>
      <c r="Y130" s="3"/>
      <c r="Z130" s="3"/>
      <c r="AA130" s="3"/>
      <c r="AB130" s="3"/>
    </row>
    <row r="131">
      <c r="A131" s="20"/>
      <c r="B131" s="20"/>
      <c r="C131" s="20"/>
      <c r="D131" s="20"/>
      <c r="E131" s="20"/>
      <c r="F131" s="20"/>
      <c r="G131" s="20"/>
      <c r="H131" s="20"/>
      <c r="I131" s="20"/>
      <c r="J131" s="3"/>
      <c r="K131" s="3"/>
      <c r="L131" s="3"/>
      <c r="M131" s="3"/>
      <c r="N131" s="3"/>
      <c r="O131" s="3"/>
      <c r="P131" s="3"/>
      <c r="Q131" s="3"/>
      <c r="R131" s="3"/>
      <c r="S131" s="3"/>
      <c r="T131" s="3"/>
      <c r="U131" s="3"/>
      <c r="V131" s="3"/>
      <c r="W131" s="3"/>
      <c r="X131" s="3"/>
      <c r="Y131" s="3"/>
      <c r="Z131" s="3"/>
      <c r="AA131" s="3"/>
      <c r="AB131" s="3"/>
    </row>
    <row r="132">
      <c r="A132" s="20"/>
      <c r="B132" s="20"/>
      <c r="C132" s="20"/>
      <c r="D132" s="20"/>
      <c r="E132" s="20"/>
      <c r="F132" s="20"/>
      <c r="G132" s="20"/>
      <c r="H132" s="20"/>
      <c r="I132" s="20"/>
      <c r="J132" s="3"/>
      <c r="K132" s="3"/>
      <c r="L132" s="3"/>
      <c r="M132" s="3"/>
      <c r="N132" s="3"/>
      <c r="O132" s="3"/>
      <c r="P132" s="3"/>
      <c r="Q132" s="3"/>
      <c r="R132" s="3"/>
      <c r="S132" s="3"/>
      <c r="T132" s="3"/>
      <c r="U132" s="3"/>
      <c r="V132" s="3"/>
      <c r="W132" s="3"/>
      <c r="X132" s="3"/>
      <c r="Y132" s="3"/>
      <c r="Z132" s="3"/>
      <c r="AA132" s="3"/>
      <c r="AB132" s="3"/>
    </row>
    <row r="133">
      <c r="A133" s="20"/>
      <c r="B133" s="20"/>
      <c r="C133" s="20"/>
      <c r="D133" s="20"/>
      <c r="E133" s="20"/>
      <c r="F133" s="20"/>
      <c r="G133" s="20"/>
      <c r="H133" s="20"/>
      <c r="I133" s="20"/>
      <c r="J133" s="3"/>
      <c r="K133" s="3"/>
      <c r="L133" s="3"/>
      <c r="M133" s="3"/>
      <c r="N133" s="3"/>
      <c r="O133" s="3"/>
      <c r="P133" s="3"/>
      <c r="Q133" s="3"/>
      <c r="R133" s="3"/>
      <c r="S133" s="3"/>
      <c r="T133" s="3"/>
      <c r="U133" s="3"/>
      <c r="V133" s="3"/>
      <c r="W133" s="3"/>
      <c r="X133" s="3"/>
      <c r="Y133" s="3"/>
      <c r="Z133" s="3"/>
      <c r="AA133" s="3"/>
      <c r="AB133" s="3"/>
    </row>
    <row r="134">
      <c r="A134" s="20"/>
      <c r="B134" s="20"/>
      <c r="C134" s="20"/>
      <c r="D134" s="20"/>
      <c r="E134" s="20"/>
      <c r="F134" s="20"/>
      <c r="G134" s="20"/>
      <c r="H134" s="20"/>
      <c r="I134" s="20"/>
      <c r="J134" s="3"/>
      <c r="K134" s="3"/>
      <c r="L134" s="3"/>
      <c r="M134" s="3"/>
      <c r="N134" s="3"/>
      <c r="O134" s="3"/>
      <c r="P134" s="3"/>
      <c r="Q134" s="3"/>
      <c r="R134" s="3"/>
      <c r="S134" s="3"/>
      <c r="T134" s="3"/>
      <c r="U134" s="3"/>
      <c r="V134" s="3"/>
      <c r="W134" s="3"/>
      <c r="X134" s="3"/>
      <c r="Y134" s="3"/>
      <c r="Z134" s="3"/>
      <c r="AA134" s="3"/>
      <c r="AB134" s="3"/>
    </row>
    <row r="135">
      <c r="A135" s="20"/>
      <c r="B135" s="20"/>
      <c r="C135" s="20"/>
      <c r="D135" s="20"/>
      <c r="E135" s="20"/>
      <c r="F135" s="20"/>
      <c r="G135" s="20"/>
      <c r="H135" s="20"/>
      <c r="I135" s="20"/>
      <c r="J135" s="3"/>
      <c r="K135" s="3"/>
      <c r="L135" s="3"/>
      <c r="M135" s="3"/>
      <c r="N135" s="3"/>
      <c r="O135" s="3"/>
      <c r="P135" s="3"/>
      <c r="Q135" s="3"/>
      <c r="R135" s="3"/>
      <c r="S135" s="3"/>
      <c r="T135" s="3"/>
      <c r="U135" s="3"/>
      <c r="V135" s="3"/>
      <c r="W135" s="3"/>
      <c r="X135" s="3"/>
      <c r="Y135" s="3"/>
      <c r="Z135" s="3"/>
      <c r="AA135" s="3"/>
      <c r="AB135" s="3"/>
    </row>
    <row r="136">
      <c r="A136" s="20"/>
      <c r="B136" s="20"/>
      <c r="C136" s="20"/>
      <c r="D136" s="20"/>
      <c r="E136" s="20"/>
      <c r="F136" s="20"/>
      <c r="G136" s="20"/>
      <c r="H136" s="20"/>
      <c r="I136" s="20"/>
      <c r="J136" s="3"/>
      <c r="K136" s="3"/>
      <c r="L136" s="3"/>
      <c r="M136" s="3"/>
      <c r="N136" s="3"/>
      <c r="O136" s="3"/>
      <c r="P136" s="3"/>
      <c r="Q136" s="3"/>
      <c r="R136" s="3"/>
      <c r="S136" s="3"/>
      <c r="T136" s="3"/>
      <c r="U136" s="3"/>
      <c r="V136" s="3"/>
      <c r="W136" s="3"/>
      <c r="X136" s="3"/>
      <c r="Y136" s="3"/>
      <c r="Z136" s="3"/>
      <c r="AA136" s="3"/>
      <c r="AB136" s="3"/>
    </row>
    <row r="137">
      <c r="A137" s="20"/>
      <c r="B137" s="20"/>
      <c r="C137" s="20"/>
      <c r="D137" s="20"/>
      <c r="E137" s="20"/>
      <c r="F137" s="20"/>
      <c r="G137" s="20"/>
      <c r="H137" s="20"/>
      <c r="I137" s="20"/>
      <c r="J137" s="3"/>
      <c r="K137" s="3"/>
      <c r="L137" s="3"/>
      <c r="M137" s="3"/>
      <c r="N137" s="3"/>
      <c r="O137" s="3"/>
      <c r="P137" s="3"/>
      <c r="Q137" s="3"/>
      <c r="R137" s="3"/>
      <c r="S137" s="3"/>
      <c r="T137" s="3"/>
      <c r="U137" s="3"/>
      <c r="V137" s="3"/>
      <c r="W137" s="3"/>
      <c r="X137" s="3"/>
      <c r="Y137" s="3"/>
      <c r="Z137" s="3"/>
      <c r="AA137" s="3"/>
      <c r="AB137" s="3"/>
    </row>
    <row r="138">
      <c r="A138" s="20"/>
      <c r="B138" s="20"/>
      <c r="C138" s="20"/>
      <c r="D138" s="20"/>
      <c r="E138" s="20"/>
      <c r="F138" s="20"/>
      <c r="G138" s="20"/>
      <c r="H138" s="20"/>
      <c r="I138" s="20"/>
      <c r="J138" s="3"/>
      <c r="K138" s="3"/>
      <c r="L138" s="3"/>
      <c r="M138" s="3"/>
      <c r="N138" s="3"/>
      <c r="O138" s="3"/>
      <c r="P138" s="3"/>
      <c r="Q138" s="3"/>
      <c r="R138" s="3"/>
      <c r="S138" s="3"/>
      <c r="T138" s="3"/>
      <c r="U138" s="3"/>
      <c r="V138" s="3"/>
      <c r="W138" s="3"/>
      <c r="X138" s="3"/>
      <c r="Y138" s="3"/>
      <c r="Z138" s="3"/>
      <c r="AA138" s="3"/>
      <c r="AB138" s="3"/>
    </row>
  </sheetData>
  <mergeCells count="19">
    <mergeCell ref="B1:I1"/>
    <mergeCell ref="B2:I2"/>
    <mergeCell ref="B3:I3"/>
    <mergeCell ref="C4:E4"/>
    <mergeCell ref="F4:I4"/>
    <mergeCell ref="F5:I10"/>
    <mergeCell ref="B13:I13"/>
    <mergeCell ref="I14:I18"/>
    <mergeCell ref="B37:B42"/>
    <mergeCell ref="I39:I42"/>
    <mergeCell ref="B43:B44"/>
    <mergeCell ref="I43:I44"/>
    <mergeCell ref="C5:E10"/>
    <mergeCell ref="B14:B18"/>
    <mergeCell ref="B19:B22"/>
    <mergeCell ref="B23:B26"/>
    <mergeCell ref="B27:B30"/>
    <mergeCell ref="B31:B33"/>
    <mergeCell ref="B34:B36"/>
  </mergeCells>
  <dataValidations>
    <dataValidation type="list" allowBlank="1" showErrorMessage="1" sqref="G14:G138">
      <formula1>'PRC-ST'!$A$6:$A$8</formula1>
    </dataValidation>
    <dataValidation type="list" allowBlank="1" showErrorMessage="1" sqref="C14:C44">
      <formula1>"Positive,Negative,UI/UX"</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830</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831</v>
      </c>
      <c r="C3" s="9"/>
      <c r="D3" s="9"/>
      <c r="E3" s="9"/>
      <c r="F3" s="9"/>
      <c r="G3" s="9"/>
      <c r="H3" s="9"/>
      <c r="I3" s="10"/>
      <c r="J3" s="3"/>
      <c r="K3" s="3"/>
      <c r="L3" s="3"/>
      <c r="M3" s="3"/>
      <c r="N3" s="3"/>
      <c r="O3" s="3"/>
      <c r="P3" s="3"/>
      <c r="Q3" s="3"/>
      <c r="R3" s="3"/>
      <c r="S3" s="3"/>
      <c r="T3" s="3"/>
      <c r="U3" s="3"/>
      <c r="V3" s="3"/>
      <c r="W3" s="3"/>
      <c r="X3" s="3"/>
      <c r="Y3" s="3"/>
      <c r="Z3" s="3"/>
      <c r="AA3" s="3"/>
      <c r="AB3" s="3"/>
    </row>
    <row r="4" ht="30.0" customHeight="1">
      <c r="A4" s="6" t="s">
        <v>2</v>
      </c>
      <c r="B4" s="7">
        <f>COUNTA(D14:D142)</f>
        <v>33</v>
      </c>
      <c r="C4" s="8" t="s">
        <v>10</v>
      </c>
      <c r="D4" s="9"/>
      <c r="E4" s="10"/>
      <c r="F4" s="8" t="s">
        <v>3</v>
      </c>
      <c r="G4" s="9"/>
      <c r="H4" s="9"/>
      <c r="I4" s="10"/>
      <c r="J4" s="3"/>
      <c r="K4" s="3"/>
      <c r="L4" s="3"/>
      <c r="M4" s="3"/>
      <c r="N4" s="3"/>
      <c r="O4" s="3"/>
      <c r="P4" s="3"/>
      <c r="Q4" s="3"/>
      <c r="R4" s="3"/>
      <c r="S4" s="3"/>
      <c r="T4" s="3"/>
      <c r="U4" s="3"/>
      <c r="V4" s="3"/>
      <c r="W4" s="3"/>
      <c r="X4" s="3"/>
      <c r="Y4" s="3"/>
      <c r="Z4" s="3"/>
      <c r="AA4" s="3"/>
      <c r="AB4" s="3"/>
    </row>
    <row r="5" ht="30.0" customHeight="1">
      <c r="A5" s="6" t="s">
        <v>4</v>
      </c>
      <c r="B5" s="7">
        <f>COUNTIFS(D14:D142, "&lt;&gt;", G14:G142, "&lt;&gt;Pending") </f>
        <v>33</v>
      </c>
      <c r="C5" s="11" t="s">
        <v>1126</v>
      </c>
      <c r="D5" s="12"/>
      <c r="E5" s="13"/>
      <c r="F5" s="11" t="s">
        <v>1127</v>
      </c>
      <c r="G5" s="12"/>
      <c r="H5" s="12"/>
      <c r="I5" s="13"/>
      <c r="J5" s="3"/>
      <c r="K5" s="3"/>
      <c r="L5" s="3"/>
      <c r="M5" s="3"/>
      <c r="N5" s="3"/>
      <c r="O5" s="3"/>
      <c r="P5" s="3"/>
      <c r="Q5" s="3"/>
      <c r="R5" s="3"/>
      <c r="S5" s="3"/>
      <c r="T5" s="3"/>
      <c r="U5" s="3"/>
      <c r="V5" s="3"/>
      <c r="W5" s="3"/>
      <c r="X5" s="3"/>
      <c r="Y5" s="3"/>
      <c r="Z5" s="3"/>
      <c r="AA5" s="3"/>
      <c r="AB5" s="3"/>
    </row>
    <row r="6" ht="30.0" customHeight="1">
      <c r="A6" s="6" t="s">
        <v>6</v>
      </c>
      <c r="B6" s="7">
        <f>B4-B5</f>
        <v>0</v>
      </c>
      <c r="C6" s="14"/>
      <c r="E6" s="15"/>
      <c r="F6" s="14"/>
      <c r="I6" s="15"/>
      <c r="J6" s="3"/>
      <c r="K6" s="3"/>
      <c r="L6" s="3"/>
      <c r="M6" s="3"/>
      <c r="N6" s="3"/>
      <c r="O6" s="3"/>
      <c r="P6" s="3"/>
      <c r="Q6" s="3"/>
      <c r="R6" s="3"/>
      <c r="S6" s="3"/>
      <c r="T6" s="3"/>
      <c r="U6" s="3"/>
      <c r="V6" s="3"/>
      <c r="W6" s="3"/>
      <c r="X6" s="3"/>
      <c r="Y6" s="3"/>
      <c r="Z6" s="3"/>
      <c r="AA6" s="3"/>
      <c r="AB6" s="3"/>
    </row>
    <row r="7" ht="30.0" customHeight="1">
      <c r="A7" s="6" t="s">
        <v>7</v>
      </c>
      <c r="B7" s="7">
        <f t="shared" ref="B7:B8" si="1">COUNTIF($G$14:$G142,A7)</f>
        <v>10</v>
      </c>
      <c r="C7" s="14"/>
      <c r="E7" s="15"/>
      <c r="F7" s="14"/>
      <c r="I7" s="15"/>
      <c r="J7" s="3"/>
      <c r="K7" s="3"/>
      <c r="L7" s="3"/>
      <c r="M7" s="3"/>
      <c r="N7" s="3"/>
      <c r="O7" s="3"/>
      <c r="P7" s="3"/>
      <c r="Q7" s="3"/>
      <c r="R7" s="3"/>
      <c r="S7" s="3"/>
      <c r="T7" s="3"/>
      <c r="U7" s="3"/>
      <c r="V7" s="3"/>
      <c r="W7" s="3"/>
      <c r="X7" s="3"/>
      <c r="Y7" s="3"/>
      <c r="Z7" s="3"/>
      <c r="AA7" s="3"/>
      <c r="AB7" s="3"/>
    </row>
    <row r="8" ht="30.0" customHeight="1">
      <c r="A8" s="6" t="s">
        <v>8</v>
      </c>
      <c r="B8" s="7">
        <f t="shared" si="1"/>
        <v>23</v>
      </c>
      <c r="C8" s="14"/>
      <c r="E8" s="15"/>
      <c r="F8" s="14"/>
      <c r="I8" s="15"/>
      <c r="J8" s="3"/>
      <c r="K8" s="3"/>
      <c r="L8" s="3"/>
      <c r="M8" s="3"/>
      <c r="N8" s="3"/>
      <c r="O8" s="3"/>
      <c r="P8" s="3"/>
      <c r="Q8" s="3"/>
      <c r="R8" s="3"/>
      <c r="S8" s="3"/>
      <c r="T8" s="3"/>
      <c r="U8" s="3"/>
      <c r="V8" s="3"/>
      <c r="W8" s="3"/>
      <c r="X8" s="3"/>
      <c r="Y8" s="3"/>
      <c r="Z8" s="3"/>
      <c r="AA8" s="3"/>
      <c r="AB8" s="3"/>
    </row>
    <row r="9" ht="30.0" customHeight="1">
      <c r="A9" s="6" t="s">
        <v>184</v>
      </c>
      <c r="B9" s="23">
        <f>B7/B4</f>
        <v>0.303030303</v>
      </c>
      <c r="C9" s="14"/>
      <c r="E9" s="15"/>
      <c r="F9" s="14"/>
      <c r="I9" s="15"/>
      <c r="J9" s="3"/>
      <c r="K9" s="3"/>
      <c r="L9" s="3"/>
      <c r="M9" s="3"/>
      <c r="N9" s="3"/>
      <c r="O9" s="3"/>
      <c r="P9" s="3"/>
      <c r="Q9" s="3"/>
      <c r="R9" s="3"/>
      <c r="S9" s="3"/>
      <c r="T9" s="3"/>
      <c r="U9" s="3"/>
      <c r="V9" s="3"/>
      <c r="W9" s="3"/>
      <c r="X9" s="3"/>
      <c r="Y9" s="3"/>
      <c r="Z9" s="3"/>
      <c r="AA9" s="3"/>
      <c r="AB9" s="3"/>
    </row>
    <row r="10" ht="219.0" customHeight="1">
      <c r="A10" s="6" t="s">
        <v>9</v>
      </c>
      <c r="B10" s="7">
        <f>SUM(H14:H142)</f>
        <v>23</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52" t="s">
        <v>52</v>
      </c>
      <c r="B13" s="53" t="s">
        <v>1128</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1129</v>
      </c>
      <c r="B14" s="55" t="s">
        <v>1130</v>
      </c>
      <c r="C14" s="19" t="s">
        <v>195</v>
      </c>
      <c r="D14" s="19" t="s">
        <v>1131</v>
      </c>
      <c r="E14" s="19" t="s">
        <v>1132</v>
      </c>
      <c r="F14" s="19" t="s">
        <v>1133</v>
      </c>
      <c r="G14" s="19" t="s">
        <v>7</v>
      </c>
      <c r="H14" s="19"/>
      <c r="I14" s="20"/>
      <c r="J14" s="3"/>
      <c r="K14" s="3"/>
      <c r="L14" s="3"/>
      <c r="M14" s="3"/>
      <c r="N14" s="3"/>
      <c r="O14" s="3"/>
      <c r="P14" s="3"/>
      <c r="Q14" s="3"/>
      <c r="R14" s="3"/>
      <c r="S14" s="3"/>
      <c r="T14" s="3"/>
      <c r="U14" s="3"/>
      <c r="V14" s="3"/>
      <c r="W14" s="3"/>
      <c r="X14" s="3"/>
      <c r="Y14" s="3"/>
      <c r="Z14" s="3"/>
      <c r="AA14" s="3"/>
      <c r="AB14" s="3"/>
    </row>
    <row r="15">
      <c r="A15" s="19" t="s">
        <v>1134</v>
      </c>
      <c r="B15" s="56"/>
      <c r="C15" s="19" t="s">
        <v>201</v>
      </c>
      <c r="D15" s="19" t="s">
        <v>1135</v>
      </c>
      <c r="E15" s="19" t="s">
        <v>1136</v>
      </c>
      <c r="F15" s="19" t="s">
        <v>1137</v>
      </c>
      <c r="G15" s="19" t="s">
        <v>8</v>
      </c>
      <c r="H15" s="19">
        <v>1.0</v>
      </c>
      <c r="I15" s="19" t="s">
        <v>1138</v>
      </c>
      <c r="J15" s="3"/>
      <c r="K15" s="3"/>
      <c r="L15" s="3"/>
      <c r="M15" s="3"/>
      <c r="N15" s="3"/>
      <c r="O15" s="3"/>
      <c r="P15" s="3"/>
      <c r="Q15" s="3"/>
      <c r="R15" s="3"/>
      <c r="S15" s="3"/>
      <c r="T15" s="3"/>
      <c r="U15" s="3"/>
      <c r="V15" s="3"/>
      <c r="W15" s="3"/>
      <c r="X15" s="3"/>
      <c r="Y15" s="3"/>
      <c r="Z15" s="3"/>
      <c r="AA15" s="3"/>
      <c r="AB15" s="3"/>
    </row>
    <row r="16">
      <c r="A16" s="19" t="s">
        <v>1139</v>
      </c>
      <c r="B16" s="57"/>
      <c r="C16" s="19" t="s">
        <v>195</v>
      </c>
      <c r="D16" s="19" t="s">
        <v>1140</v>
      </c>
      <c r="E16" s="19" t="s">
        <v>1141</v>
      </c>
      <c r="F16" s="19" t="s">
        <v>1142</v>
      </c>
      <c r="G16" s="19" t="s">
        <v>7</v>
      </c>
      <c r="H16" s="20"/>
      <c r="I16" s="20"/>
      <c r="J16" s="3"/>
      <c r="K16" s="3"/>
      <c r="L16" s="3"/>
      <c r="M16" s="3"/>
      <c r="N16" s="3"/>
      <c r="O16" s="3"/>
      <c r="P16" s="3"/>
      <c r="Q16" s="3"/>
      <c r="R16" s="3"/>
      <c r="S16" s="3"/>
      <c r="T16" s="3"/>
      <c r="U16" s="3"/>
      <c r="V16" s="3"/>
      <c r="W16" s="3"/>
      <c r="X16" s="3"/>
      <c r="Y16" s="3"/>
      <c r="Z16" s="3"/>
      <c r="AA16" s="3"/>
      <c r="AB16" s="3"/>
    </row>
    <row r="17">
      <c r="A17" s="19" t="s">
        <v>1143</v>
      </c>
      <c r="B17" s="55" t="s">
        <v>1144</v>
      </c>
      <c r="C17" s="19" t="s">
        <v>600</v>
      </c>
      <c r="D17" s="19" t="s">
        <v>1145</v>
      </c>
      <c r="E17" s="19" t="s">
        <v>1146</v>
      </c>
      <c r="F17" s="19" t="s">
        <v>1147</v>
      </c>
      <c r="G17" s="19" t="s">
        <v>8</v>
      </c>
      <c r="H17" s="19">
        <v>1.0</v>
      </c>
      <c r="I17" s="19" t="s">
        <v>1148</v>
      </c>
      <c r="J17" s="3"/>
      <c r="K17" s="3"/>
      <c r="L17" s="3"/>
      <c r="M17" s="3"/>
      <c r="N17" s="3"/>
      <c r="O17" s="3"/>
      <c r="P17" s="3"/>
      <c r="Q17" s="3"/>
      <c r="R17" s="3"/>
      <c r="S17" s="3"/>
      <c r="T17" s="3"/>
      <c r="U17" s="3"/>
      <c r="V17" s="3"/>
      <c r="W17" s="3"/>
      <c r="X17" s="3"/>
      <c r="Y17" s="3"/>
      <c r="Z17" s="3"/>
      <c r="AA17" s="3"/>
      <c r="AB17" s="3"/>
    </row>
    <row r="18">
      <c r="A18" s="19" t="s">
        <v>1149</v>
      </c>
      <c r="B18" s="57"/>
      <c r="C18" s="19" t="s">
        <v>195</v>
      </c>
      <c r="D18" s="19" t="s">
        <v>1150</v>
      </c>
      <c r="E18" s="19" t="s">
        <v>1151</v>
      </c>
      <c r="F18" s="19" t="s">
        <v>1152</v>
      </c>
      <c r="G18" s="19" t="s">
        <v>7</v>
      </c>
      <c r="H18" s="20"/>
      <c r="I18" s="20"/>
      <c r="J18" s="3"/>
      <c r="K18" s="3"/>
      <c r="L18" s="3"/>
      <c r="M18" s="3"/>
      <c r="N18" s="3"/>
      <c r="O18" s="3"/>
      <c r="P18" s="3"/>
      <c r="Q18" s="3"/>
      <c r="R18" s="3"/>
      <c r="S18" s="3"/>
      <c r="T18" s="3"/>
      <c r="U18" s="3"/>
      <c r="V18" s="3"/>
      <c r="W18" s="3"/>
      <c r="X18" s="3"/>
      <c r="Y18" s="3"/>
      <c r="Z18" s="3"/>
      <c r="AA18" s="3"/>
      <c r="AB18" s="3"/>
    </row>
    <row r="19">
      <c r="A19" s="19" t="s">
        <v>1153</v>
      </c>
      <c r="B19" s="55" t="s">
        <v>1154</v>
      </c>
      <c r="C19" s="19" t="s">
        <v>195</v>
      </c>
      <c r="D19" s="19" t="s">
        <v>1155</v>
      </c>
      <c r="E19" s="19" t="s">
        <v>1156</v>
      </c>
      <c r="F19" s="19" t="s">
        <v>1157</v>
      </c>
      <c r="G19" s="19" t="s">
        <v>7</v>
      </c>
      <c r="H19" s="20"/>
      <c r="I19" s="20"/>
      <c r="J19" s="3"/>
      <c r="K19" s="3"/>
      <c r="L19" s="3"/>
      <c r="M19" s="3"/>
      <c r="N19" s="3"/>
      <c r="O19" s="3"/>
      <c r="P19" s="3"/>
      <c r="Q19" s="3"/>
      <c r="R19" s="3"/>
      <c r="S19" s="3"/>
      <c r="T19" s="3"/>
      <c r="U19" s="3"/>
      <c r="V19" s="3"/>
      <c r="W19" s="3"/>
      <c r="X19" s="3"/>
      <c r="Y19" s="3"/>
      <c r="Z19" s="3"/>
      <c r="AA19" s="3"/>
      <c r="AB19" s="3"/>
    </row>
    <row r="20">
      <c r="A20" s="19" t="s">
        <v>1158</v>
      </c>
      <c r="B20" s="56"/>
      <c r="C20" s="19" t="s">
        <v>195</v>
      </c>
      <c r="D20" s="19" t="s">
        <v>1159</v>
      </c>
      <c r="E20" s="19" t="s">
        <v>1160</v>
      </c>
      <c r="F20" s="19" t="s">
        <v>1157</v>
      </c>
      <c r="G20" s="19" t="s">
        <v>7</v>
      </c>
      <c r="H20" s="20"/>
      <c r="I20" s="20"/>
      <c r="J20" s="3"/>
      <c r="K20" s="3"/>
      <c r="L20" s="3"/>
      <c r="M20" s="3"/>
      <c r="N20" s="3"/>
      <c r="O20" s="3"/>
      <c r="P20" s="3"/>
      <c r="Q20" s="3"/>
      <c r="R20" s="3"/>
      <c r="S20" s="3"/>
      <c r="T20" s="3"/>
      <c r="U20" s="3"/>
      <c r="V20" s="3"/>
      <c r="W20" s="3"/>
      <c r="X20" s="3"/>
      <c r="Y20" s="3"/>
      <c r="Z20" s="3"/>
      <c r="AA20" s="3"/>
      <c r="AB20" s="3"/>
    </row>
    <row r="21">
      <c r="A21" s="55" t="s">
        <v>1161</v>
      </c>
      <c r="B21" s="56"/>
      <c r="C21" s="19" t="s">
        <v>195</v>
      </c>
      <c r="D21" s="55" t="s">
        <v>1162</v>
      </c>
      <c r="E21" s="55" t="s">
        <v>1163</v>
      </c>
      <c r="F21" s="55" t="s">
        <v>859</v>
      </c>
      <c r="G21" s="55" t="s">
        <v>7</v>
      </c>
      <c r="H21" s="58"/>
      <c r="I21" s="58"/>
      <c r="J21" s="3"/>
      <c r="K21" s="3"/>
      <c r="L21" s="3"/>
      <c r="M21" s="3"/>
      <c r="N21" s="3"/>
      <c r="O21" s="3"/>
      <c r="P21" s="3"/>
      <c r="Q21" s="3"/>
      <c r="R21" s="3"/>
      <c r="S21" s="3"/>
      <c r="T21" s="3"/>
      <c r="U21" s="3"/>
      <c r="V21" s="3"/>
      <c r="W21" s="3"/>
      <c r="X21" s="3"/>
      <c r="Y21" s="3"/>
      <c r="Z21" s="3"/>
      <c r="AA21" s="3"/>
      <c r="AB21" s="3"/>
    </row>
    <row r="22">
      <c r="A22" s="57"/>
      <c r="B22" s="57"/>
      <c r="C22" s="19" t="s">
        <v>195</v>
      </c>
      <c r="D22" s="57"/>
      <c r="E22" s="57"/>
      <c r="F22" s="57"/>
      <c r="G22" s="57"/>
      <c r="H22" s="57"/>
      <c r="I22" s="57"/>
      <c r="J22" s="3"/>
      <c r="K22" s="3"/>
      <c r="L22" s="3"/>
      <c r="M22" s="3"/>
      <c r="N22" s="3"/>
      <c r="O22" s="3"/>
      <c r="P22" s="3"/>
      <c r="Q22" s="3"/>
      <c r="R22" s="3"/>
      <c r="S22" s="3"/>
      <c r="T22" s="3"/>
      <c r="U22" s="3"/>
      <c r="V22" s="3"/>
      <c r="W22" s="3"/>
      <c r="X22" s="3"/>
      <c r="Y22" s="3"/>
      <c r="Z22" s="3"/>
      <c r="AA22" s="3"/>
      <c r="AB22" s="3"/>
    </row>
    <row r="23">
      <c r="A23" s="19" t="s">
        <v>1164</v>
      </c>
      <c r="B23" s="55" t="s">
        <v>1165</v>
      </c>
      <c r="C23" s="19" t="s">
        <v>195</v>
      </c>
      <c r="D23" s="19" t="s">
        <v>1166</v>
      </c>
      <c r="E23" s="19" t="s">
        <v>1167</v>
      </c>
      <c r="F23" s="19" t="s">
        <v>1168</v>
      </c>
      <c r="G23" s="19" t="s">
        <v>8</v>
      </c>
      <c r="H23" s="19">
        <v>1.0</v>
      </c>
      <c r="I23" s="55" t="s">
        <v>1169</v>
      </c>
      <c r="J23" s="3"/>
      <c r="K23" s="3"/>
      <c r="L23" s="3"/>
      <c r="M23" s="3"/>
      <c r="N23" s="3"/>
      <c r="O23" s="3"/>
      <c r="P23" s="3"/>
      <c r="Q23" s="3"/>
      <c r="R23" s="3"/>
      <c r="S23" s="3"/>
      <c r="T23" s="3"/>
      <c r="U23" s="3"/>
      <c r="V23" s="3"/>
      <c r="W23" s="3"/>
      <c r="X23" s="3"/>
      <c r="Y23" s="3"/>
      <c r="Z23" s="3"/>
      <c r="AA23" s="3"/>
      <c r="AB23" s="3"/>
    </row>
    <row r="24">
      <c r="A24" s="19" t="s">
        <v>1170</v>
      </c>
      <c r="B24" s="56"/>
      <c r="C24" s="19" t="s">
        <v>195</v>
      </c>
      <c r="D24" s="19" t="s">
        <v>1171</v>
      </c>
      <c r="E24" s="19" t="s">
        <v>1172</v>
      </c>
      <c r="F24" s="19" t="s">
        <v>1173</v>
      </c>
      <c r="G24" s="19" t="s">
        <v>8</v>
      </c>
      <c r="H24" s="19">
        <v>1.0</v>
      </c>
      <c r="I24" s="56"/>
      <c r="J24" s="3"/>
      <c r="K24" s="3"/>
      <c r="L24" s="3"/>
      <c r="M24" s="3"/>
      <c r="N24" s="3"/>
      <c r="O24" s="3"/>
      <c r="P24" s="3"/>
      <c r="Q24" s="3"/>
      <c r="R24" s="3"/>
      <c r="S24" s="3"/>
      <c r="T24" s="3"/>
      <c r="U24" s="3"/>
      <c r="V24" s="3"/>
      <c r="W24" s="3"/>
      <c r="X24" s="3"/>
      <c r="Y24" s="3"/>
      <c r="Z24" s="3"/>
      <c r="AA24" s="3"/>
      <c r="AB24" s="3"/>
    </row>
    <row r="25">
      <c r="A25" s="19" t="s">
        <v>1174</v>
      </c>
      <c r="B25" s="56"/>
      <c r="C25" s="19" t="s">
        <v>195</v>
      </c>
      <c r="D25" s="19" t="s">
        <v>1175</v>
      </c>
      <c r="E25" s="19" t="s">
        <v>1176</v>
      </c>
      <c r="F25" s="19" t="s">
        <v>1177</v>
      </c>
      <c r="G25" s="19" t="s">
        <v>8</v>
      </c>
      <c r="H25" s="19">
        <v>1.0</v>
      </c>
      <c r="I25" s="56"/>
      <c r="J25" s="3"/>
      <c r="K25" s="3"/>
      <c r="L25" s="3"/>
      <c r="M25" s="3"/>
      <c r="N25" s="3"/>
      <c r="O25" s="3"/>
      <c r="P25" s="3"/>
      <c r="Q25" s="3"/>
      <c r="R25" s="3"/>
      <c r="S25" s="3"/>
      <c r="T25" s="3"/>
      <c r="U25" s="3"/>
      <c r="V25" s="3"/>
      <c r="W25" s="3"/>
      <c r="X25" s="3"/>
      <c r="Y25" s="3"/>
      <c r="Z25" s="3"/>
      <c r="AA25" s="3"/>
      <c r="AB25" s="3"/>
    </row>
    <row r="26">
      <c r="A26" s="19" t="s">
        <v>1178</v>
      </c>
      <c r="B26" s="56"/>
      <c r="C26" s="19" t="s">
        <v>195</v>
      </c>
      <c r="D26" s="19" t="s">
        <v>1179</v>
      </c>
      <c r="E26" s="19" t="s">
        <v>1180</v>
      </c>
      <c r="F26" s="19" t="s">
        <v>1168</v>
      </c>
      <c r="G26" s="19" t="s">
        <v>8</v>
      </c>
      <c r="H26" s="19">
        <v>1.0</v>
      </c>
      <c r="I26" s="56"/>
      <c r="J26" s="3"/>
      <c r="K26" s="3"/>
      <c r="L26" s="3"/>
      <c r="M26" s="3"/>
      <c r="N26" s="3"/>
      <c r="O26" s="3"/>
      <c r="P26" s="3"/>
      <c r="Q26" s="3"/>
      <c r="R26" s="3"/>
      <c r="S26" s="3"/>
      <c r="T26" s="3"/>
      <c r="U26" s="3"/>
      <c r="V26" s="3"/>
      <c r="W26" s="3"/>
      <c r="X26" s="3"/>
      <c r="Y26" s="3"/>
      <c r="Z26" s="3"/>
      <c r="AA26" s="3"/>
      <c r="AB26" s="3"/>
    </row>
    <row r="27">
      <c r="A27" s="19" t="s">
        <v>1181</v>
      </c>
      <c r="B27" s="57"/>
      <c r="C27" s="19" t="s">
        <v>195</v>
      </c>
      <c r="D27" s="19" t="s">
        <v>1182</v>
      </c>
      <c r="E27" s="19" t="s">
        <v>1183</v>
      </c>
      <c r="F27" s="19" t="s">
        <v>1152</v>
      </c>
      <c r="G27" s="19" t="s">
        <v>8</v>
      </c>
      <c r="H27" s="19">
        <v>1.0</v>
      </c>
      <c r="I27" s="57"/>
      <c r="J27" s="3"/>
      <c r="K27" s="3"/>
      <c r="L27" s="3"/>
      <c r="M27" s="3"/>
      <c r="N27" s="3"/>
      <c r="O27" s="3"/>
      <c r="P27" s="3"/>
      <c r="Q27" s="3"/>
      <c r="R27" s="3"/>
      <c r="S27" s="3"/>
      <c r="T27" s="3"/>
      <c r="U27" s="3"/>
      <c r="V27" s="3"/>
      <c r="W27" s="3"/>
      <c r="X27" s="3"/>
      <c r="Y27" s="3"/>
      <c r="Z27" s="3"/>
      <c r="AA27" s="3"/>
      <c r="AB27" s="3"/>
    </row>
    <row r="28">
      <c r="A28" s="19" t="s">
        <v>1184</v>
      </c>
      <c r="B28" s="55" t="s">
        <v>1185</v>
      </c>
      <c r="C28" s="19" t="s">
        <v>600</v>
      </c>
      <c r="D28" s="19" t="s">
        <v>1186</v>
      </c>
      <c r="E28" s="19" t="s">
        <v>1187</v>
      </c>
      <c r="F28" s="19" t="s">
        <v>1188</v>
      </c>
      <c r="G28" s="19" t="s">
        <v>8</v>
      </c>
      <c r="H28" s="19">
        <v>1.0</v>
      </c>
      <c r="I28" s="55" t="s">
        <v>1189</v>
      </c>
      <c r="J28" s="3"/>
      <c r="K28" s="3"/>
      <c r="L28" s="3"/>
      <c r="M28" s="3"/>
      <c r="N28" s="3"/>
      <c r="O28" s="3"/>
      <c r="P28" s="3"/>
      <c r="Q28" s="3"/>
      <c r="R28" s="3"/>
      <c r="S28" s="3"/>
      <c r="T28" s="3"/>
      <c r="U28" s="3"/>
      <c r="V28" s="3"/>
      <c r="W28" s="3"/>
      <c r="X28" s="3"/>
      <c r="Y28" s="3"/>
      <c r="Z28" s="3"/>
      <c r="AA28" s="3"/>
      <c r="AB28" s="3"/>
    </row>
    <row r="29">
      <c r="A29" s="19" t="s">
        <v>1190</v>
      </c>
      <c r="B29" s="56"/>
      <c r="C29" s="19" t="s">
        <v>600</v>
      </c>
      <c r="D29" s="19" t="s">
        <v>1191</v>
      </c>
      <c r="E29" s="19" t="s">
        <v>1192</v>
      </c>
      <c r="F29" s="19" t="s">
        <v>1193</v>
      </c>
      <c r="G29" s="19" t="s">
        <v>8</v>
      </c>
      <c r="H29" s="19">
        <v>1.0</v>
      </c>
      <c r="I29" s="56"/>
      <c r="J29" s="3"/>
      <c r="K29" s="3"/>
      <c r="L29" s="3"/>
      <c r="M29" s="3"/>
      <c r="N29" s="3"/>
      <c r="O29" s="3"/>
      <c r="P29" s="3"/>
      <c r="Q29" s="3"/>
      <c r="R29" s="3"/>
      <c r="S29" s="3"/>
      <c r="T29" s="3"/>
      <c r="U29" s="3"/>
      <c r="V29" s="3"/>
      <c r="W29" s="3"/>
      <c r="X29" s="3"/>
      <c r="Y29" s="3"/>
      <c r="Z29" s="3"/>
      <c r="AA29" s="3"/>
      <c r="AB29" s="3"/>
    </row>
    <row r="30">
      <c r="A30" s="19" t="s">
        <v>1194</v>
      </c>
      <c r="B30" s="56"/>
      <c r="C30" s="19" t="s">
        <v>600</v>
      </c>
      <c r="D30" s="19" t="s">
        <v>1195</v>
      </c>
      <c r="E30" s="19" t="s">
        <v>1196</v>
      </c>
      <c r="F30" s="19" t="s">
        <v>1028</v>
      </c>
      <c r="G30" s="19" t="s">
        <v>8</v>
      </c>
      <c r="H30" s="19">
        <v>1.0</v>
      </c>
      <c r="I30" s="56"/>
      <c r="J30" s="3"/>
      <c r="K30" s="3"/>
      <c r="L30" s="3"/>
      <c r="M30" s="3"/>
      <c r="N30" s="3"/>
      <c r="O30" s="3"/>
      <c r="P30" s="3"/>
      <c r="Q30" s="3"/>
      <c r="R30" s="3"/>
      <c r="S30" s="3"/>
      <c r="T30" s="3"/>
      <c r="U30" s="3"/>
      <c r="V30" s="3"/>
      <c r="W30" s="3"/>
      <c r="X30" s="3"/>
      <c r="Y30" s="3"/>
      <c r="Z30" s="3"/>
      <c r="AA30" s="3"/>
      <c r="AB30" s="3"/>
    </row>
    <row r="31">
      <c r="A31" s="19" t="s">
        <v>1197</v>
      </c>
      <c r="B31" s="57"/>
      <c r="C31" s="19" t="s">
        <v>600</v>
      </c>
      <c r="D31" s="19" t="s">
        <v>1198</v>
      </c>
      <c r="E31" s="19" t="s">
        <v>1199</v>
      </c>
      <c r="F31" s="19" t="s">
        <v>1177</v>
      </c>
      <c r="G31" s="19" t="s">
        <v>8</v>
      </c>
      <c r="H31" s="19">
        <v>1.0</v>
      </c>
      <c r="I31" s="57"/>
      <c r="J31" s="3"/>
      <c r="K31" s="3"/>
      <c r="L31" s="3"/>
      <c r="M31" s="3"/>
      <c r="N31" s="3"/>
      <c r="O31" s="3"/>
      <c r="P31" s="3"/>
      <c r="Q31" s="3"/>
      <c r="R31" s="3"/>
      <c r="S31" s="3"/>
      <c r="T31" s="3"/>
      <c r="U31" s="3"/>
      <c r="V31" s="3"/>
      <c r="W31" s="3"/>
      <c r="X31" s="3"/>
      <c r="Y31" s="3"/>
      <c r="Z31" s="3"/>
      <c r="AA31" s="3"/>
      <c r="AB31" s="3"/>
    </row>
    <row r="32">
      <c r="A32" s="19" t="s">
        <v>1200</v>
      </c>
      <c r="B32" s="55" t="s">
        <v>1201</v>
      </c>
      <c r="C32" s="19" t="s">
        <v>195</v>
      </c>
      <c r="D32" s="19" t="s">
        <v>1202</v>
      </c>
      <c r="E32" s="19" t="s">
        <v>1203</v>
      </c>
      <c r="F32" s="19" t="s">
        <v>1204</v>
      </c>
      <c r="G32" s="19" t="s">
        <v>7</v>
      </c>
      <c r="H32" s="20"/>
      <c r="I32" s="20"/>
      <c r="J32" s="3"/>
      <c r="K32" s="3"/>
      <c r="L32" s="3"/>
      <c r="M32" s="3"/>
      <c r="N32" s="3"/>
      <c r="O32" s="3"/>
      <c r="P32" s="3"/>
      <c r="Q32" s="3"/>
      <c r="R32" s="3"/>
      <c r="S32" s="3"/>
      <c r="T32" s="3"/>
      <c r="U32" s="3"/>
      <c r="V32" s="3"/>
      <c r="W32" s="3"/>
      <c r="X32" s="3"/>
      <c r="Y32" s="3"/>
      <c r="Z32" s="3"/>
      <c r="AA32" s="3"/>
      <c r="AB32" s="3"/>
    </row>
    <row r="33">
      <c r="A33" s="19" t="s">
        <v>1205</v>
      </c>
      <c r="B33" s="56"/>
      <c r="C33" s="19" t="s">
        <v>195</v>
      </c>
      <c r="D33" s="19" t="s">
        <v>1206</v>
      </c>
      <c r="E33" s="19" t="s">
        <v>1207</v>
      </c>
      <c r="F33" s="19" t="s">
        <v>859</v>
      </c>
      <c r="G33" s="19" t="s">
        <v>7</v>
      </c>
      <c r="H33" s="20"/>
      <c r="I33" s="20"/>
      <c r="J33" s="3"/>
      <c r="K33" s="3"/>
      <c r="L33" s="3"/>
      <c r="M33" s="3"/>
      <c r="N33" s="3"/>
      <c r="O33" s="3"/>
      <c r="P33" s="3"/>
      <c r="Q33" s="3"/>
      <c r="R33" s="3"/>
      <c r="S33" s="3"/>
      <c r="T33" s="3"/>
      <c r="U33" s="3"/>
      <c r="V33" s="3"/>
      <c r="W33" s="3"/>
      <c r="X33" s="3"/>
      <c r="Y33" s="3"/>
      <c r="Z33" s="3"/>
      <c r="AA33" s="3"/>
      <c r="AB33" s="3"/>
    </row>
    <row r="34">
      <c r="A34" s="55" t="s">
        <v>1208</v>
      </c>
      <c r="B34" s="56"/>
      <c r="C34" s="55" t="s">
        <v>201</v>
      </c>
      <c r="D34" s="55" t="s">
        <v>1209</v>
      </c>
      <c r="E34" s="55" t="s">
        <v>1210</v>
      </c>
      <c r="F34" s="55" t="s">
        <v>1211</v>
      </c>
      <c r="G34" s="55" t="s">
        <v>8</v>
      </c>
      <c r="H34" s="55">
        <v>1.0</v>
      </c>
      <c r="I34" s="55" t="s">
        <v>1212</v>
      </c>
      <c r="J34" s="3"/>
      <c r="K34" s="3"/>
      <c r="L34" s="3"/>
      <c r="M34" s="3"/>
      <c r="N34" s="3"/>
      <c r="O34" s="3"/>
      <c r="P34" s="3"/>
      <c r="Q34" s="3"/>
      <c r="R34" s="3"/>
      <c r="S34" s="3"/>
      <c r="T34" s="3"/>
      <c r="U34" s="3"/>
      <c r="V34" s="3"/>
      <c r="W34" s="3"/>
      <c r="X34" s="3"/>
      <c r="Y34" s="3"/>
      <c r="Z34" s="3"/>
      <c r="AA34" s="3"/>
      <c r="AB34" s="3"/>
    </row>
    <row r="35" ht="32.25" customHeight="1">
      <c r="A35" s="57"/>
      <c r="B35" s="57"/>
      <c r="C35" s="57"/>
      <c r="D35" s="57"/>
      <c r="E35" s="57"/>
      <c r="F35" s="57"/>
      <c r="G35" s="57"/>
      <c r="H35" s="57"/>
      <c r="I35" s="57"/>
      <c r="J35" s="3"/>
      <c r="K35" s="3"/>
      <c r="L35" s="3"/>
      <c r="M35" s="3"/>
      <c r="N35" s="3"/>
      <c r="O35" s="3"/>
      <c r="P35" s="3"/>
      <c r="Q35" s="3"/>
      <c r="R35" s="3"/>
      <c r="S35" s="3"/>
      <c r="T35" s="3"/>
      <c r="U35" s="3"/>
      <c r="V35" s="3"/>
      <c r="W35" s="3"/>
      <c r="X35" s="3"/>
      <c r="Y35" s="3"/>
      <c r="Z35" s="3"/>
      <c r="AA35" s="3"/>
      <c r="AB35" s="3"/>
    </row>
    <row r="36">
      <c r="A36" s="19" t="s">
        <v>1213</v>
      </c>
      <c r="B36" s="55" t="s">
        <v>1214</v>
      </c>
      <c r="C36" s="19" t="s">
        <v>195</v>
      </c>
      <c r="D36" s="19" t="s">
        <v>1215</v>
      </c>
      <c r="E36" s="19" t="s">
        <v>1216</v>
      </c>
      <c r="F36" s="19" t="s">
        <v>1217</v>
      </c>
      <c r="G36" s="19" t="s">
        <v>7</v>
      </c>
      <c r="H36" s="20"/>
      <c r="I36" s="20"/>
      <c r="J36" s="3"/>
      <c r="K36" s="3"/>
      <c r="L36" s="3"/>
      <c r="M36" s="3"/>
      <c r="N36" s="3"/>
      <c r="O36" s="3"/>
      <c r="P36" s="3"/>
      <c r="Q36" s="3"/>
      <c r="R36" s="3"/>
      <c r="S36" s="3"/>
      <c r="T36" s="3"/>
      <c r="U36" s="3"/>
      <c r="V36" s="3"/>
      <c r="W36" s="3"/>
      <c r="X36" s="3"/>
      <c r="Y36" s="3"/>
      <c r="Z36" s="3"/>
      <c r="AA36" s="3"/>
      <c r="AB36" s="3"/>
    </row>
    <row r="37">
      <c r="A37" s="19" t="s">
        <v>1218</v>
      </c>
      <c r="B37" s="57"/>
      <c r="C37" s="19" t="s">
        <v>201</v>
      </c>
      <c r="D37" s="19" t="s">
        <v>1219</v>
      </c>
      <c r="E37" s="19" t="s">
        <v>1220</v>
      </c>
      <c r="F37" s="19" t="s">
        <v>1221</v>
      </c>
      <c r="G37" s="19" t="s">
        <v>8</v>
      </c>
      <c r="H37" s="19">
        <v>1.0</v>
      </c>
      <c r="I37" s="19" t="s">
        <v>1222</v>
      </c>
      <c r="J37" s="3"/>
      <c r="K37" s="3"/>
      <c r="L37" s="3"/>
      <c r="M37" s="3"/>
      <c r="N37" s="3"/>
      <c r="O37" s="3"/>
      <c r="P37" s="3"/>
      <c r="Q37" s="3"/>
      <c r="R37" s="3"/>
      <c r="S37" s="3"/>
      <c r="T37" s="3"/>
      <c r="U37" s="3"/>
      <c r="V37" s="3"/>
      <c r="W37" s="3"/>
      <c r="X37" s="3"/>
      <c r="Y37" s="3"/>
      <c r="Z37" s="3"/>
      <c r="AA37" s="3"/>
      <c r="AB37" s="3"/>
    </row>
    <row r="38">
      <c r="A38" s="19" t="s">
        <v>1223</v>
      </c>
      <c r="B38" s="55" t="s">
        <v>1224</v>
      </c>
      <c r="C38" s="19" t="s">
        <v>195</v>
      </c>
      <c r="D38" s="19" t="s">
        <v>1225</v>
      </c>
      <c r="E38" s="19" t="s">
        <v>1226</v>
      </c>
      <c r="F38" s="19" t="s">
        <v>1227</v>
      </c>
      <c r="G38" s="19" t="s">
        <v>8</v>
      </c>
      <c r="H38" s="19">
        <v>1.0</v>
      </c>
      <c r="I38" s="55" t="s">
        <v>1228</v>
      </c>
      <c r="J38" s="3"/>
      <c r="K38" s="3"/>
      <c r="L38" s="3"/>
      <c r="M38" s="3"/>
      <c r="N38" s="3"/>
      <c r="O38" s="3"/>
      <c r="P38" s="3"/>
      <c r="Q38" s="3"/>
      <c r="R38" s="3"/>
      <c r="S38" s="3"/>
      <c r="T38" s="3"/>
      <c r="U38" s="3"/>
      <c r="V38" s="3"/>
      <c r="W38" s="3"/>
      <c r="X38" s="3"/>
      <c r="Y38" s="3"/>
      <c r="Z38" s="3"/>
      <c r="AA38" s="3"/>
      <c r="AB38" s="3"/>
    </row>
    <row r="39">
      <c r="A39" s="19" t="s">
        <v>1229</v>
      </c>
      <c r="B39" s="56"/>
      <c r="C39" s="19" t="s">
        <v>195</v>
      </c>
      <c r="D39" s="19" t="s">
        <v>1230</v>
      </c>
      <c r="E39" s="19" t="s">
        <v>1231</v>
      </c>
      <c r="F39" s="19" t="s">
        <v>1232</v>
      </c>
      <c r="G39" s="19" t="s">
        <v>8</v>
      </c>
      <c r="H39" s="19">
        <v>1.0</v>
      </c>
      <c r="I39" s="57"/>
      <c r="J39" s="3"/>
      <c r="K39" s="3"/>
      <c r="L39" s="3"/>
      <c r="M39" s="3"/>
      <c r="N39" s="3"/>
      <c r="O39" s="3"/>
      <c r="P39" s="3"/>
      <c r="Q39" s="3"/>
      <c r="R39" s="3"/>
      <c r="S39" s="3"/>
      <c r="T39" s="3"/>
      <c r="U39" s="3"/>
      <c r="V39" s="3"/>
      <c r="W39" s="3"/>
      <c r="X39" s="3"/>
      <c r="Y39" s="3"/>
      <c r="Z39" s="3"/>
      <c r="AA39" s="3"/>
      <c r="AB39" s="3"/>
    </row>
    <row r="40">
      <c r="A40" s="19" t="s">
        <v>1233</v>
      </c>
      <c r="B40" s="57"/>
      <c r="C40" s="19" t="s">
        <v>195</v>
      </c>
      <c r="D40" s="19" t="s">
        <v>1234</v>
      </c>
      <c r="E40" s="19" t="s">
        <v>1235</v>
      </c>
      <c r="F40" s="19" t="s">
        <v>1236</v>
      </c>
      <c r="G40" s="19" t="s">
        <v>7</v>
      </c>
      <c r="H40" s="20"/>
      <c r="I40" s="19"/>
      <c r="J40" s="3"/>
      <c r="K40" s="3"/>
      <c r="L40" s="3"/>
      <c r="M40" s="3"/>
      <c r="N40" s="3"/>
      <c r="O40" s="3"/>
      <c r="P40" s="3"/>
      <c r="Q40" s="3"/>
      <c r="R40" s="3"/>
      <c r="S40" s="3"/>
      <c r="T40" s="3"/>
      <c r="U40" s="3"/>
      <c r="V40" s="3"/>
      <c r="W40" s="3"/>
      <c r="X40" s="3"/>
      <c r="Y40" s="3"/>
      <c r="Z40" s="3"/>
      <c r="AA40" s="3"/>
      <c r="AB40" s="3"/>
    </row>
    <row r="41">
      <c r="A41" s="19" t="s">
        <v>1237</v>
      </c>
      <c r="B41" s="55" t="s">
        <v>1238</v>
      </c>
      <c r="C41" s="19" t="s">
        <v>600</v>
      </c>
      <c r="D41" s="19" t="s">
        <v>1239</v>
      </c>
      <c r="E41" s="19" t="s">
        <v>1240</v>
      </c>
      <c r="F41" s="19" t="s">
        <v>1241</v>
      </c>
      <c r="G41" s="19" t="s">
        <v>8</v>
      </c>
      <c r="H41" s="19">
        <v>1.0</v>
      </c>
      <c r="I41" s="19" t="s">
        <v>1242</v>
      </c>
      <c r="J41" s="3"/>
      <c r="K41" s="3"/>
      <c r="L41" s="3"/>
      <c r="M41" s="3"/>
      <c r="N41" s="3"/>
      <c r="O41" s="3"/>
      <c r="P41" s="3"/>
      <c r="Q41" s="3"/>
      <c r="R41" s="3"/>
      <c r="S41" s="3"/>
      <c r="T41" s="3"/>
      <c r="U41" s="3"/>
      <c r="V41" s="3"/>
      <c r="W41" s="3"/>
      <c r="X41" s="3"/>
      <c r="Y41" s="3"/>
      <c r="Z41" s="3"/>
      <c r="AA41" s="3"/>
      <c r="AB41" s="3"/>
    </row>
    <row r="42">
      <c r="A42" s="19" t="s">
        <v>1243</v>
      </c>
      <c r="B42" s="56"/>
      <c r="C42" s="19" t="s">
        <v>600</v>
      </c>
      <c r="D42" s="19" t="s">
        <v>1244</v>
      </c>
      <c r="E42" s="19" t="s">
        <v>1245</v>
      </c>
      <c r="F42" s="19" t="s">
        <v>1246</v>
      </c>
      <c r="G42" s="19" t="s">
        <v>8</v>
      </c>
      <c r="H42" s="19">
        <v>1.0</v>
      </c>
      <c r="I42" s="19" t="s">
        <v>1247</v>
      </c>
      <c r="J42" s="3"/>
      <c r="K42" s="3"/>
      <c r="L42" s="3"/>
      <c r="M42" s="3"/>
      <c r="N42" s="3"/>
      <c r="O42" s="3"/>
      <c r="P42" s="3"/>
      <c r="Q42" s="3"/>
      <c r="R42" s="3"/>
      <c r="S42" s="3"/>
      <c r="T42" s="3"/>
      <c r="U42" s="3"/>
      <c r="V42" s="3"/>
      <c r="W42" s="3"/>
      <c r="X42" s="3"/>
      <c r="Y42" s="3"/>
      <c r="Z42" s="3"/>
      <c r="AA42" s="3"/>
      <c r="AB42" s="3"/>
    </row>
    <row r="43">
      <c r="A43" s="19" t="s">
        <v>1248</v>
      </c>
      <c r="B43" s="56"/>
      <c r="C43" s="19" t="s">
        <v>195</v>
      </c>
      <c r="D43" s="19" t="s">
        <v>1249</v>
      </c>
      <c r="E43" s="19" t="s">
        <v>1250</v>
      </c>
      <c r="F43" s="19" t="s">
        <v>1251</v>
      </c>
      <c r="G43" s="19" t="s">
        <v>8</v>
      </c>
      <c r="H43" s="19">
        <v>1.0</v>
      </c>
      <c r="I43" s="19" t="s">
        <v>1252</v>
      </c>
      <c r="J43" s="3"/>
      <c r="K43" s="3"/>
      <c r="L43" s="3"/>
      <c r="M43" s="3"/>
      <c r="N43" s="3"/>
      <c r="O43" s="3"/>
      <c r="P43" s="3"/>
      <c r="Q43" s="3"/>
      <c r="R43" s="3"/>
      <c r="S43" s="3"/>
      <c r="T43" s="3"/>
      <c r="U43" s="3"/>
      <c r="V43" s="3"/>
      <c r="W43" s="3"/>
      <c r="X43" s="3"/>
      <c r="Y43" s="3"/>
      <c r="Z43" s="3"/>
      <c r="AA43" s="3"/>
      <c r="AB43" s="3"/>
    </row>
    <row r="44">
      <c r="A44" s="19" t="s">
        <v>1253</v>
      </c>
      <c r="B44" s="57"/>
      <c r="C44" s="19" t="s">
        <v>195</v>
      </c>
      <c r="D44" s="19" t="s">
        <v>1254</v>
      </c>
      <c r="E44" s="19" t="s">
        <v>1255</v>
      </c>
      <c r="F44" s="19" t="s">
        <v>1256</v>
      </c>
      <c r="G44" s="19" t="s">
        <v>8</v>
      </c>
      <c r="H44" s="19">
        <v>1.0</v>
      </c>
      <c r="I44" s="19" t="s">
        <v>1257</v>
      </c>
      <c r="J44" s="3"/>
      <c r="K44" s="3"/>
      <c r="L44" s="3"/>
      <c r="M44" s="3"/>
      <c r="N44" s="3"/>
      <c r="O44" s="3"/>
      <c r="P44" s="3"/>
      <c r="Q44" s="3"/>
      <c r="R44" s="3"/>
      <c r="S44" s="3"/>
      <c r="T44" s="3"/>
      <c r="U44" s="3"/>
      <c r="V44" s="3"/>
      <c r="W44" s="3"/>
      <c r="X44" s="3"/>
      <c r="Y44" s="3"/>
      <c r="Z44" s="3"/>
      <c r="AA44" s="3"/>
      <c r="AB44" s="3"/>
    </row>
    <row r="45">
      <c r="A45" s="19" t="s">
        <v>1258</v>
      </c>
      <c r="B45" s="55" t="s">
        <v>1259</v>
      </c>
      <c r="C45" s="19" t="s">
        <v>600</v>
      </c>
      <c r="D45" s="19" t="s">
        <v>1260</v>
      </c>
      <c r="E45" s="19" t="s">
        <v>1261</v>
      </c>
      <c r="F45" s="19" t="s">
        <v>1262</v>
      </c>
      <c r="G45" s="19" t="s">
        <v>8</v>
      </c>
      <c r="H45" s="19">
        <v>1.0</v>
      </c>
      <c r="I45" s="55" t="s">
        <v>1263</v>
      </c>
      <c r="J45" s="3"/>
      <c r="K45" s="3"/>
      <c r="L45" s="3"/>
      <c r="M45" s="3"/>
      <c r="N45" s="3"/>
      <c r="O45" s="3"/>
      <c r="P45" s="3"/>
      <c r="Q45" s="3"/>
      <c r="R45" s="3"/>
      <c r="S45" s="3"/>
      <c r="T45" s="3"/>
      <c r="U45" s="3"/>
      <c r="V45" s="3"/>
      <c r="W45" s="3"/>
      <c r="X45" s="3"/>
      <c r="Y45" s="3"/>
      <c r="Z45" s="3"/>
      <c r="AA45" s="3"/>
      <c r="AB45" s="3"/>
    </row>
    <row r="46">
      <c r="A46" s="19" t="s">
        <v>1264</v>
      </c>
      <c r="B46" s="56"/>
      <c r="C46" s="19" t="s">
        <v>600</v>
      </c>
      <c r="D46" s="19" t="s">
        <v>1265</v>
      </c>
      <c r="E46" s="19" t="s">
        <v>1266</v>
      </c>
      <c r="F46" s="19" t="s">
        <v>859</v>
      </c>
      <c r="G46" s="19" t="s">
        <v>8</v>
      </c>
      <c r="H46" s="19">
        <v>1.0</v>
      </c>
      <c r="I46" s="56"/>
      <c r="J46" s="3"/>
      <c r="K46" s="3"/>
      <c r="L46" s="3"/>
      <c r="M46" s="3"/>
      <c r="N46" s="3"/>
      <c r="O46" s="3"/>
      <c r="P46" s="3"/>
      <c r="Q46" s="3"/>
      <c r="R46" s="3"/>
      <c r="S46" s="3"/>
      <c r="T46" s="3"/>
      <c r="U46" s="3"/>
      <c r="V46" s="3"/>
      <c r="W46" s="3"/>
      <c r="X46" s="3"/>
      <c r="Y46" s="3"/>
      <c r="Z46" s="3"/>
      <c r="AA46" s="3"/>
      <c r="AB46" s="3"/>
    </row>
    <row r="47">
      <c r="A47" s="19" t="s">
        <v>1267</v>
      </c>
      <c r="B47" s="56"/>
      <c r="C47" s="19" t="s">
        <v>600</v>
      </c>
      <c r="D47" s="19" t="s">
        <v>1268</v>
      </c>
      <c r="E47" s="19" t="s">
        <v>1269</v>
      </c>
      <c r="F47" s="19" t="s">
        <v>859</v>
      </c>
      <c r="G47" s="19" t="s">
        <v>8</v>
      </c>
      <c r="H47" s="19">
        <v>1.0</v>
      </c>
      <c r="I47" s="56"/>
      <c r="J47" s="3"/>
      <c r="K47" s="3"/>
      <c r="L47" s="3"/>
      <c r="M47" s="3"/>
      <c r="N47" s="3"/>
      <c r="O47" s="3"/>
      <c r="P47" s="3"/>
      <c r="Q47" s="3"/>
      <c r="R47" s="3"/>
      <c r="S47" s="3"/>
      <c r="T47" s="3"/>
      <c r="U47" s="3"/>
      <c r="V47" s="3"/>
      <c r="W47" s="3"/>
      <c r="X47" s="3"/>
      <c r="Y47" s="3"/>
      <c r="Z47" s="3"/>
      <c r="AA47" s="3"/>
      <c r="AB47" s="3"/>
    </row>
    <row r="48">
      <c r="A48" s="19" t="s">
        <v>1270</v>
      </c>
      <c r="B48" s="57"/>
      <c r="C48" s="19" t="s">
        <v>195</v>
      </c>
      <c r="D48" s="19" t="s">
        <v>1271</v>
      </c>
      <c r="E48" s="19" t="s">
        <v>1272</v>
      </c>
      <c r="F48" s="19" t="s">
        <v>1028</v>
      </c>
      <c r="G48" s="19" t="s">
        <v>8</v>
      </c>
      <c r="H48" s="19">
        <v>1.0</v>
      </c>
      <c r="I48" s="57"/>
      <c r="J48" s="3"/>
      <c r="K48" s="3"/>
      <c r="L48" s="3"/>
      <c r="M48" s="3"/>
      <c r="N48" s="3"/>
      <c r="O48" s="3"/>
      <c r="P48" s="3"/>
      <c r="Q48" s="3"/>
      <c r="R48" s="3"/>
      <c r="S48" s="3"/>
      <c r="T48" s="3"/>
      <c r="U48" s="3"/>
      <c r="V48" s="3"/>
      <c r="W48" s="3"/>
      <c r="X48" s="3"/>
      <c r="Y48" s="3"/>
      <c r="Z48" s="3"/>
      <c r="AA48" s="3"/>
      <c r="AB48" s="3"/>
    </row>
    <row r="49">
      <c r="A49" s="20"/>
      <c r="B49" s="20"/>
      <c r="C49" s="20"/>
      <c r="D49" s="20"/>
      <c r="E49" s="20"/>
      <c r="F49" s="20"/>
      <c r="G49" s="20"/>
      <c r="H49" s="20"/>
      <c r="I49" s="20"/>
      <c r="J49" s="3"/>
      <c r="K49" s="3"/>
      <c r="L49" s="3"/>
      <c r="M49" s="3"/>
      <c r="N49" s="3"/>
      <c r="O49" s="3"/>
      <c r="P49" s="3"/>
      <c r="Q49" s="3"/>
      <c r="R49" s="3"/>
      <c r="S49" s="3"/>
      <c r="T49" s="3"/>
      <c r="U49" s="3"/>
      <c r="V49" s="3"/>
      <c r="W49" s="3"/>
      <c r="X49" s="3"/>
      <c r="Y49" s="3"/>
      <c r="Z49" s="3"/>
      <c r="AA49" s="3"/>
      <c r="AB49" s="3"/>
    </row>
    <row r="50">
      <c r="A50" s="20"/>
      <c r="B50" s="20"/>
      <c r="C50" s="20"/>
      <c r="D50" s="20"/>
      <c r="E50" s="20"/>
      <c r="F50" s="20"/>
      <c r="G50" s="20"/>
      <c r="H50" s="20"/>
      <c r="I50" s="20"/>
      <c r="J50" s="3"/>
      <c r="K50" s="3"/>
      <c r="L50" s="3"/>
      <c r="M50" s="3"/>
      <c r="N50" s="3"/>
      <c r="O50" s="3"/>
      <c r="P50" s="3"/>
      <c r="Q50" s="3"/>
      <c r="R50" s="3"/>
      <c r="S50" s="3"/>
      <c r="T50" s="3"/>
      <c r="U50" s="3"/>
      <c r="V50" s="3"/>
      <c r="W50" s="3"/>
      <c r="X50" s="3"/>
      <c r="Y50" s="3"/>
      <c r="Z50" s="3"/>
      <c r="AA50" s="3"/>
      <c r="AB50" s="3"/>
    </row>
    <row r="51">
      <c r="A51" s="20"/>
      <c r="B51" s="20"/>
      <c r="C51" s="20"/>
      <c r="D51" s="20"/>
      <c r="E51" s="20"/>
      <c r="F51" s="20"/>
      <c r="G51" s="20"/>
      <c r="H51" s="20"/>
      <c r="I51" s="20"/>
      <c r="J51" s="3"/>
      <c r="K51" s="3"/>
      <c r="L51" s="3"/>
      <c r="M51" s="3"/>
      <c r="N51" s="3"/>
      <c r="O51" s="3"/>
      <c r="P51" s="3"/>
      <c r="Q51" s="3"/>
      <c r="R51" s="3"/>
      <c r="S51" s="3"/>
      <c r="T51" s="3"/>
      <c r="U51" s="3"/>
      <c r="V51" s="3"/>
      <c r="W51" s="3"/>
      <c r="X51" s="3"/>
      <c r="Y51" s="3"/>
      <c r="Z51" s="3"/>
      <c r="AA51" s="3"/>
      <c r="AB51" s="3"/>
    </row>
    <row r="52">
      <c r="A52" s="20"/>
      <c r="B52" s="20"/>
      <c r="C52" s="20"/>
      <c r="D52" s="20"/>
      <c r="E52" s="20"/>
      <c r="F52" s="20"/>
      <c r="G52" s="20"/>
      <c r="H52" s="20"/>
      <c r="I52" s="20"/>
      <c r="J52" s="3"/>
      <c r="K52" s="3"/>
      <c r="L52" s="3"/>
      <c r="M52" s="3"/>
      <c r="N52" s="3"/>
      <c r="O52" s="3"/>
      <c r="P52" s="3"/>
      <c r="Q52" s="3"/>
      <c r="R52" s="3"/>
      <c r="S52" s="3"/>
      <c r="T52" s="3"/>
      <c r="U52" s="3"/>
      <c r="V52" s="3"/>
      <c r="W52" s="3"/>
      <c r="X52" s="3"/>
      <c r="Y52" s="3"/>
      <c r="Z52" s="3"/>
      <c r="AA52" s="3"/>
      <c r="AB52" s="3"/>
    </row>
    <row r="53">
      <c r="A53" s="20"/>
      <c r="B53" s="20"/>
      <c r="C53" s="20"/>
      <c r="D53" s="20"/>
      <c r="E53" s="20"/>
      <c r="F53" s="20"/>
      <c r="G53" s="20"/>
      <c r="H53" s="20"/>
      <c r="I53" s="20"/>
      <c r="J53" s="3"/>
      <c r="K53" s="3"/>
      <c r="L53" s="3"/>
      <c r="M53" s="3"/>
      <c r="N53" s="3"/>
      <c r="O53" s="3"/>
      <c r="P53" s="3"/>
      <c r="Q53" s="3"/>
      <c r="R53" s="3"/>
      <c r="S53" s="3"/>
      <c r="T53" s="3"/>
      <c r="U53" s="3"/>
      <c r="V53" s="3"/>
      <c r="W53" s="3"/>
      <c r="X53" s="3"/>
      <c r="Y53" s="3"/>
      <c r="Z53" s="3"/>
      <c r="AA53" s="3"/>
      <c r="AB53" s="3"/>
    </row>
    <row r="54">
      <c r="A54" s="20"/>
      <c r="B54" s="20"/>
      <c r="C54" s="20"/>
      <c r="D54" s="20"/>
      <c r="E54" s="20"/>
      <c r="F54" s="20"/>
      <c r="G54" s="20"/>
      <c r="H54" s="20"/>
      <c r="I54" s="20"/>
      <c r="J54" s="3"/>
      <c r="K54" s="3"/>
      <c r="L54" s="3"/>
      <c r="M54" s="3"/>
      <c r="N54" s="3"/>
      <c r="O54" s="3"/>
      <c r="P54" s="3"/>
      <c r="Q54" s="3"/>
      <c r="R54" s="3"/>
      <c r="S54" s="3"/>
      <c r="T54" s="3"/>
      <c r="U54" s="3"/>
      <c r="V54" s="3"/>
      <c r="W54" s="3"/>
      <c r="X54" s="3"/>
      <c r="Y54" s="3"/>
      <c r="Z54" s="3"/>
      <c r="AA54" s="3"/>
      <c r="AB54" s="3"/>
    </row>
    <row r="55">
      <c r="A55" s="20"/>
      <c r="B55" s="20"/>
      <c r="C55" s="20"/>
      <c r="D55" s="20"/>
      <c r="E55" s="20"/>
      <c r="F55" s="20"/>
      <c r="G55" s="20"/>
      <c r="H55" s="20"/>
      <c r="I55" s="20"/>
      <c r="J55" s="3"/>
      <c r="K55" s="3"/>
      <c r="L55" s="3"/>
      <c r="M55" s="3"/>
      <c r="N55" s="3"/>
      <c r="O55" s="3"/>
      <c r="P55" s="3"/>
      <c r="Q55" s="3"/>
      <c r="R55" s="3"/>
      <c r="S55" s="3"/>
      <c r="T55" s="3"/>
      <c r="U55" s="3"/>
      <c r="V55" s="3"/>
      <c r="W55" s="3"/>
      <c r="X55" s="3"/>
      <c r="Y55" s="3"/>
      <c r="Z55" s="3"/>
      <c r="AA55" s="3"/>
      <c r="AB55" s="3"/>
    </row>
    <row r="56">
      <c r="A56" s="20"/>
      <c r="B56" s="20"/>
      <c r="C56" s="20"/>
      <c r="D56" s="20"/>
      <c r="E56" s="20"/>
      <c r="F56" s="20"/>
      <c r="G56" s="20"/>
      <c r="H56" s="20"/>
      <c r="I56" s="20"/>
      <c r="J56" s="3"/>
      <c r="K56" s="3"/>
      <c r="L56" s="3"/>
      <c r="M56" s="3"/>
      <c r="N56" s="3"/>
      <c r="O56" s="3"/>
      <c r="P56" s="3"/>
      <c r="Q56" s="3"/>
      <c r="R56" s="3"/>
      <c r="S56" s="3"/>
      <c r="T56" s="3"/>
      <c r="U56" s="3"/>
      <c r="V56" s="3"/>
      <c r="W56" s="3"/>
      <c r="X56" s="3"/>
      <c r="Y56" s="3"/>
      <c r="Z56" s="3"/>
      <c r="AA56" s="3"/>
      <c r="AB56" s="3"/>
    </row>
    <row r="57">
      <c r="A57" s="20"/>
      <c r="B57" s="20"/>
      <c r="C57" s="20"/>
      <c r="D57" s="20"/>
      <c r="E57" s="20"/>
      <c r="F57" s="20"/>
      <c r="G57" s="20"/>
      <c r="H57" s="20"/>
      <c r="I57" s="20"/>
      <c r="J57" s="3"/>
      <c r="K57" s="3"/>
      <c r="L57" s="3"/>
      <c r="M57" s="3"/>
      <c r="N57" s="3"/>
      <c r="O57" s="3"/>
      <c r="P57" s="3"/>
      <c r="Q57" s="3"/>
      <c r="R57" s="3"/>
      <c r="S57" s="3"/>
      <c r="T57" s="3"/>
      <c r="U57" s="3"/>
      <c r="V57" s="3"/>
      <c r="W57" s="3"/>
      <c r="X57" s="3"/>
      <c r="Y57" s="3"/>
      <c r="Z57" s="3"/>
      <c r="AA57" s="3"/>
      <c r="AB57" s="3"/>
    </row>
    <row r="58">
      <c r="A58" s="20"/>
      <c r="B58" s="20"/>
      <c r="C58" s="20"/>
      <c r="D58" s="20"/>
      <c r="E58" s="20"/>
      <c r="F58" s="20"/>
      <c r="G58" s="20"/>
      <c r="H58" s="20"/>
      <c r="I58" s="20"/>
      <c r="J58" s="3"/>
      <c r="K58" s="3"/>
      <c r="L58" s="3"/>
      <c r="M58" s="3"/>
      <c r="N58" s="3"/>
      <c r="O58" s="3"/>
      <c r="P58" s="3"/>
      <c r="Q58" s="3"/>
      <c r="R58" s="3"/>
      <c r="S58" s="3"/>
      <c r="T58" s="3"/>
      <c r="U58" s="3"/>
      <c r="V58" s="3"/>
      <c r="W58" s="3"/>
      <c r="X58" s="3"/>
      <c r="Y58" s="3"/>
      <c r="Z58" s="3"/>
      <c r="AA58" s="3"/>
      <c r="AB58" s="3"/>
    </row>
    <row r="59">
      <c r="A59" s="20"/>
      <c r="B59" s="20"/>
      <c r="C59" s="20"/>
      <c r="D59" s="20"/>
      <c r="E59" s="20"/>
      <c r="F59" s="20"/>
      <c r="G59" s="20"/>
      <c r="H59" s="20"/>
      <c r="I59" s="20"/>
      <c r="J59" s="3"/>
      <c r="K59" s="3"/>
      <c r="L59" s="3"/>
      <c r="M59" s="3"/>
      <c r="N59" s="3"/>
      <c r="O59" s="3"/>
      <c r="P59" s="3"/>
      <c r="Q59" s="3"/>
      <c r="R59" s="3"/>
      <c r="S59" s="3"/>
      <c r="T59" s="3"/>
      <c r="U59" s="3"/>
      <c r="V59" s="3"/>
      <c r="W59" s="3"/>
      <c r="X59" s="3"/>
      <c r="Y59" s="3"/>
      <c r="Z59" s="3"/>
      <c r="AA59" s="3"/>
      <c r="AB59" s="3"/>
    </row>
    <row r="60">
      <c r="A60" s="20"/>
      <c r="B60" s="20"/>
      <c r="C60" s="20"/>
      <c r="D60" s="20"/>
      <c r="E60" s="20"/>
      <c r="F60" s="20"/>
      <c r="G60" s="20"/>
      <c r="H60" s="20"/>
      <c r="I60" s="20"/>
      <c r="J60" s="3"/>
      <c r="K60" s="3"/>
      <c r="L60" s="3"/>
      <c r="M60" s="3"/>
      <c r="N60" s="3"/>
      <c r="O60" s="3"/>
      <c r="P60" s="3"/>
      <c r="Q60" s="3"/>
      <c r="R60" s="3"/>
      <c r="S60" s="3"/>
      <c r="T60" s="3"/>
      <c r="U60" s="3"/>
      <c r="V60" s="3"/>
      <c r="W60" s="3"/>
      <c r="X60" s="3"/>
      <c r="Y60" s="3"/>
      <c r="Z60" s="3"/>
      <c r="AA60" s="3"/>
      <c r="AB60" s="3"/>
    </row>
    <row r="61">
      <c r="A61" s="20"/>
      <c r="B61" s="20"/>
      <c r="C61" s="20"/>
      <c r="D61" s="20"/>
      <c r="E61" s="20"/>
      <c r="F61" s="20"/>
      <c r="G61" s="20"/>
      <c r="H61" s="20"/>
      <c r="I61" s="20"/>
      <c r="J61" s="3"/>
      <c r="K61" s="3"/>
      <c r="L61" s="3"/>
      <c r="M61" s="3"/>
      <c r="N61" s="3"/>
      <c r="O61" s="3"/>
      <c r="P61" s="3"/>
      <c r="Q61" s="3"/>
      <c r="R61" s="3"/>
      <c r="S61" s="3"/>
      <c r="T61" s="3"/>
      <c r="U61" s="3"/>
      <c r="V61" s="3"/>
      <c r="W61" s="3"/>
      <c r="X61" s="3"/>
      <c r="Y61" s="3"/>
      <c r="Z61" s="3"/>
      <c r="AA61" s="3"/>
      <c r="AB61" s="3"/>
    </row>
    <row r="62">
      <c r="A62" s="20"/>
      <c r="B62" s="20"/>
      <c r="C62" s="20"/>
      <c r="D62" s="20"/>
      <c r="E62" s="20"/>
      <c r="F62" s="20"/>
      <c r="G62" s="20"/>
      <c r="H62" s="20"/>
      <c r="I62" s="20"/>
      <c r="J62" s="3"/>
      <c r="K62" s="3"/>
      <c r="L62" s="3"/>
      <c r="M62" s="3"/>
      <c r="N62" s="3"/>
      <c r="O62" s="3"/>
      <c r="P62" s="3"/>
      <c r="Q62" s="3"/>
      <c r="R62" s="3"/>
      <c r="S62" s="3"/>
      <c r="T62" s="3"/>
      <c r="U62" s="3"/>
      <c r="V62" s="3"/>
      <c r="W62" s="3"/>
      <c r="X62" s="3"/>
      <c r="Y62" s="3"/>
      <c r="Z62" s="3"/>
      <c r="AA62" s="3"/>
      <c r="AB62" s="3"/>
    </row>
    <row r="63">
      <c r="A63" s="20"/>
      <c r="B63" s="20"/>
      <c r="C63" s="20"/>
      <c r="D63" s="20"/>
      <c r="E63" s="20"/>
      <c r="F63" s="20"/>
      <c r="G63" s="20"/>
      <c r="H63" s="20"/>
      <c r="I63" s="20"/>
      <c r="J63" s="3"/>
      <c r="K63" s="3"/>
      <c r="L63" s="3"/>
      <c r="M63" s="3"/>
      <c r="N63" s="3"/>
      <c r="O63" s="3"/>
      <c r="P63" s="3"/>
      <c r="Q63" s="3"/>
      <c r="R63" s="3"/>
      <c r="S63" s="3"/>
      <c r="T63" s="3"/>
      <c r="U63" s="3"/>
      <c r="V63" s="3"/>
      <c r="W63" s="3"/>
      <c r="X63" s="3"/>
      <c r="Y63" s="3"/>
      <c r="Z63" s="3"/>
      <c r="AA63" s="3"/>
      <c r="AB63" s="3"/>
    </row>
    <row r="64">
      <c r="A64" s="20"/>
      <c r="B64" s="20"/>
      <c r="C64" s="20"/>
      <c r="D64" s="20"/>
      <c r="E64" s="20"/>
      <c r="F64" s="20"/>
      <c r="G64" s="20"/>
      <c r="H64" s="20"/>
      <c r="I64" s="20"/>
      <c r="J64" s="3"/>
      <c r="K64" s="3"/>
      <c r="L64" s="3"/>
      <c r="M64" s="3"/>
      <c r="N64" s="3"/>
      <c r="O64" s="3"/>
      <c r="P64" s="3"/>
      <c r="Q64" s="3"/>
      <c r="R64" s="3"/>
      <c r="S64" s="3"/>
      <c r="T64" s="3"/>
      <c r="U64" s="3"/>
      <c r="V64" s="3"/>
      <c r="W64" s="3"/>
      <c r="X64" s="3"/>
      <c r="Y64" s="3"/>
      <c r="Z64" s="3"/>
      <c r="AA64" s="3"/>
      <c r="AB64" s="3"/>
    </row>
    <row r="65">
      <c r="A65" s="20"/>
      <c r="B65" s="20"/>
      <c r="C65" s="20"/>
      <c r="D65" s="20"/>
      <c r="E65" s="20"/>
      <c r="F65" s="20"/>
      <c r="G65" s="20"/>
      <c r="H65" s="20"/>
      <c r="I65" s="20"/>
      <c r="J65" s="3"/>
      <c r="K65" s="3"/>
      <c r="L65" s="3"/>
      <c r="M65" s="3"/>
      <c r="N65" s="3"/>
      <c r="O65" s="3"/>
      <c r="P65" s="3"/>
      <c r="Q65" s="3"/>
      <c r="R65" s="3"/>
      <c r="S65" s="3"/>
      <c r="T65" s="3"/>
      <c r="U65" s="3"/>
      <c r="V65" s="3"/>
      <c r="W65" s="3"/>
      <c r="X65" s="3"/>
      <c r="Y65" s="3"/>
      <c r="Z65" s="3"/>
      <c r="AA65" s="3"/>
      <c r="AB65" s="3"/>
    </row>
    <row r="66">
      <c r="A66" s="20"/>
      <c r="B66" s="20"/>
      <c r="C66" s="20"/>
      <c r="D66" s="20"/>
      <c r="E66" s="20"/>
      <c r="F66" s="20"/>
      <c r="G66" s="20"/>
      <c r="H66" s="20"/>
      <c r="I66" s="20"/>
      <c r="J66" s="3"/>
      <c r="K66" s="3"/>
      <c r="L66" s="3"/>
      <c r="M66" s="3"/>
      <c r="N66" s="3"/>
      <c r="O66" s="3"/>
      <c r="P66" s="3"/>
      <c r="Q66" s="3"/>
      <c r="R66" s="3"/>
      <c r="S66" s="3"/>
      <c r="T66" s="3"/>
      <c r="U66" s="3"/>
      <c r="V66" s="3"/>
      <c r="W66" s="3"/>
      <c r="X66" s="3"/>
      <c r="Y66" s="3"/>
      <c r="Z66" s="3"/>
      <c r="AA66" s="3"/>
      <c r="AB66" s="3"/>
    </row>
    <row r="67">
      <c r="A67" s="20"/>
      <c r="B67" s="20"/>
      <c r="C67" s="20"/>
      <c r="D67" s="20"/>
      <c r="E67" s="20"/>
      <c r="F67" s="20"/>
      <c r="G67" s="20"/>
      <c r="H67" s="20"/>
      <c r="I67" s="20"/>
      <c r="J67" s="3"/>
      <c r="K67" s="3"/>
      <c r="L67" s="3"/>
      <c r="M67" s="3"/>
      <c r="N67" s="3"/>
      <c r="O67" s="3"/>
      <c r="P67" s="3"/>
      <c r="Q67" s="3"/>
      <c r="R67" s="3"/>
      <c r="S67" s="3"/>
      <c r="T67" s="3"/>
      <c r="U67" s="3"/>
      <c r="V67" s="3"/>
      <c r="W67" s="3"/>
      <c r="X67" s="3"/>
      <c r="Y67" s="3"/>
      <c r="Z67" s="3"/>
      <c r="AA67" s="3"/>
      <c r="AB67" s="3"/>
    </row>
    <row r="68">
      <c r="A68" s="20"/>
      <c r="B68" s="20"/>
      <c r="C68" s="20"/>
      <c r="D68" s="20"/>
      <c r="E68" s="20"/>
      <c r="F68" s="20"/>
      <c r="G68" s="20"/>
      <c r="H68" s="20"/>
      <c r="I68" s="20"/>
      <c r="J68" s="3"/>
      <c r="K68" s="3"/>
      <c r="L68" s="3"/>
      <c r="M68" s="3"/>
      <c r="N68" s="3"/>
      <c r="O68" s="3"/>
      <c r="P68" s="3"/>
      <c r="Q68" s="3"/>
      <c r="R68" s="3"/>
      <c r="S68" s="3"/>
      <c r="T68" s="3"/>
      <c r="U68" s="3"/>
      <c r="V68" s="3"/>
      <c r="W68" s="3"/>
      <c r="X68" s="3"/>
      <c r="Y68" s="3"/>
      <c r="Z68" s="3"/>
      <c r="AA68" s="3"/>
      <c r="AB68" s="3"/>
    </row>
    <row r="69">
      <c r="A69" s="20"/>
      <c r="B69" s="20"/>
      <c r="C69" s="20"/>
      <c r="D69" s="20"/>
      <c r="E69" s="20"/>
      <c r="F69" s="20"/>
      <c r="G69" s="20"/>
      <c r="H69" s="20"/>
      <c r="I69" s="20"/>
      <c r="J69" s="3"/>
      <c r="K69" s="3"/>
      <c r="L69" s="3"/>
      <c r="M69" s="3"/>
      <c r="N69" s="3"/>
      <c r="O69" s="3"/>
      <c r="P69" s="3"/>
      <c r="Q69" s="3"/>
      <c r="R69" s="3"/>
      <c r="S69" s="3"/>
      <c r="T69" s="3"/>
      <c r="U69" s="3"/>
      <c r="V69" s="3"/>
      <c r="W69" s="3"/>
      <c r="X69" s="3"/>
      <c r="Y69" s="3"/>
      <c r="Z69" s="3"/>
      <c r="AA69" s="3"/>
      <c r="AB69" s="3"/>
    </row>
    <row r="70">
      <c r="A70" s="20"/>
      <c r="B70" s="20"/>
      <c r="C70" s="20"/>
      <c r="D70" s="20"/>
      <c r="E70" s="20"/>
      <c r="F70" s="20"/>
      <c r="G70" s="20"/>
      <c r="H70" s="20"/>
      <c r="I70" s="20"/>
      <c r="J70" s="3"/>
      <c r="K70" s="3"/>
      <c r="L70" s="3"/>
      <c r="M70" s="3"/>
      <c r="N70" s="3"/>
      <c r="O70" s="3"/>
      <c r="P70" s="3"/>
      <c r="Q70" s="3"/>
      <c r="R70" s="3"/>
      <c r="S70" s="3"/>
      <c r="T70" s="3"/>
      <c r="U70" s="3"/>
      <c r="V70" s="3"/>
      <c r="W70" s="3"/>
      <c r="X70" s="3"/>
      <c r="Y70" s="3"/>
      <c r="Z70" s="3"/>
      <c r="AA70" s="3"/>
      <c r="AB70" s="3"/>
    </row>
    <row r="71">
      <c r="A71" s="20"/>
      <c r="B71" s="20"/>
      <c r="C71" s="20"/>
      <c r="D71" s="20"/>
      <c r="E71" s="20"/>
      <c r="F71" s="20"/>
      <c r="G71" s="20"/>
      <c r="H71" s="20"/>
      <c r="I71" s="20"/>
      <c r="J71" s="3"/>
      <c r="K71" s="3"/>
      <c r="L71" s="3"/>
      <c r="M71" s="3"/>
      <c r="N71" s="3"/>
      <c r="O71" s="3"/>
      <c r="P71" s="3"/>
      <c r="Q71" s="3"/>
      <c r="R71" s="3"/>
      <c r="S71" s="3"/>
      <c r="T71" s="3"/>
      <c r="U71" s="3"/>
      <c r="V71" s="3"/>
      <c r="W71" s="3"/>
      <c r="X71" s="3"/>
      <c r="Y71" s="3"/>
      <c r="Z71" s="3"/>
      <c r="AA71" s="3"/>
      <c r="AB71" s="3"/>
    </row>
    <row r="72">
      <c r="A72" s="20"/>
      <c r="B72" s="20"/>
      <c r="C72" s="20"/>
      <c r="D72" s="20"/>
      <c r="E72" s="20"/>
      <c r="F72" s="20"/>
      <c r="G72" s="20"/>
      <c r="H72" s="20"/>
      <c r="I72" s="20"/>
      <c r="J72" s="3"/>
      <c r="K72" s="3"/>
      <c r="L72" s="3"/>
      <c r="M72" s="3"/>
      <c r="N72" s="3"/>
      <c r="O72" s="3"/>
      <c r="P72" s="3"/>
      <c r="Q72" s="3"/>
      <c r="R72" s="3"/>
      <c r="S72" s="3"/>
      <c r="T72" s="3"/>
      <c r="U72" s="3"/>
      <c r="V72" s="3"/>
      <c r="W72" s="3"/>
      <c r="X72" s="3"/>
      <c r="Y72" s="3"/>
      <c r="Z72" s="3"/>
      <c r="AA72" s="3"/>
      <c r="AB72" s="3"/>
    </row>
    <row r="73">
      <c r="A73" s="20"/>
      <c r="B73" s="20"/>
      <c r="C73" s="20"/>
      <c r="D73" s="20"/>
      <c r="E73" s="20"/>
      <c r="F73" s="20"/>
      <c r="G73" s="20"/>
      <c r="H73" s="20"/>
      <c r="I73" s="20"/>
      <c r="J73" s="3"/>
      <c r="K73" s="3"/>
      <c r="L73" s="3"/>
      <c r="M73" s="3"/>
      <c r="N73" s="3"/>
      <c r="O73" s="3"/>
      <c r="P73" s="3"/>
      <c r="Q73" s="3"/>
      <c r="R73" s="3"/>
      <c r="S73" s="3"/>
      <c r="T73" s="3"/>
      <c r="U73" s="3"/>
      <c r="V73" s="3"/>
      <c r="W73" s="3"/>
      <c r="X73" s="3"/>
      <c r="Y73" s="3"/>
      <c r="Z73" s="3"/>
      <c r="AA73" s="3"/>
      <c r="AB73" s="3"/>
    </row>
    <row r="74">
      <c r="A74" s="20"/>
      <c r="B74" s="20"/>
      <c r="C74" s="20"/>
      <c r="D74" s="20"/>
      <c r="E74" s="20"/>
      <c r="F74" s="20"/>
      <c r="G74" s="20"/>
      <c r="H74" s="20"/>
      <c r="I74" s="20"/>
      <c r="J74" s="3"/>
      <c r="K74" s="3"/>
      <c r="L74" s="3"/>
      <c r="M74" s="3"/>
      <c r="N74" s="3"/>
      <c r="O74" s="3"/>
      <c r="P74" s="3"/>
      <c r="Q74" s="3"/>
      <c r="R74" s="3"/>
      <c r="S74" s="3"/>
      <c r="T74" s="3"/>
      <c r="U74" s="3"/>
      <c r="V74" s="3"/>
      <c r="W74" s="3"/>
      <c r="X74" s="3"/>
      <c r="Y74" s="3"/>
      <c r="Z74" s="3"/>
      <c r="AA74" s="3"/>
      <c r="AB74" s="3"/>
    </row>
    <row r="75">
      <c r="A75" s="20"/>
      <c r="B75" s="20"/>
      <c r="C75" s="20"/>
      <c r="D75" s="20"/>
      <c r="E75" s="20"/>
      <c r="F75" s="20"/>
      <c r="G75" s="20"/>
      <c r="H75" s="20"/>
      <c r="I75" s="20"/>
      <c r="J75" s="3"/>
      <c r="K75" s="3"/>
      <c r="L75" s="3"/>
      <c r="M75" s="3"/>
      <c r="N75" s="3"/>
      <c r="O75" s="3"/>
      <c r="P75" s="3"/>
      <c r="Q75" s="3"/>
      <c r="R75" s="3"/>
      <c r="S75" s="3"/>
      <c r="T75" s="3"/>
      <c r="U75" s="3"/>
      <c r="V75" s="3"/>
      <c r="W75" s="3"/>
      <c r="X75" s="3"/>
      <c r="Y75" s="3"/>
      <c r="Z75" s="3"/>
      <c r="AA75" s="3"/>
      <c r="AB75" s="3"/>
    </row>
    <row r="76">
      <c r="A76" s="20"/>
      <c r="B76" s="20"/>
      <c r="C76" s="20"/>
      <c r="D76" s="20"/>
      <c r="E76" s="20"/>
      <c r="F76" s="20"/>
      <c r="G76" s="20"/>
      <c r="H76" s="20"/>
      <c r="I76" s="20"/>
      <c r="J76" s="3"/>
      <c r="K76" s="3"/>
      <c r="L76" s="3"/>
      <c r="M76" s="3"/>
      <c r="N76" s="3"/>
      <c r="O76" s="3"/>
      <c r="P76" s="3"/>
      <c r="Q76" s="3"/>
      <c r="R76" s="3"/>
      <c r="S76" s="3"/>
      <c r="T76" s="3"/>
      <c r="U76" s="3"/>
      <c r="V76" s="3"/>
      <c r="W76" s="3"/>
      <c r="X76" s="3"/>
      <c r="Y76" s="3"/>
      <c r="Z76" s="3"/>
      <c r="AA76" s="3"/>
      <c r="AB76" s="3"/>
    </row>
    <row r="77">
      <c r="A77" s="20"/>
      <c r="B77" s="20"/>
      <c r="C77" s="20"/>
      <c r="D77" s="20"/>
      <c r="E77" s="20"/>
      <c r="F77" s="20"/>
      <c r="G77" s="20"/>
      <c r="H77" s="20"/>
      <c r="I77" s="20"/>
      <c r="J77" s="3"/>
      <c r="K77" s="3"/>
      <c r="L77" s="3"/>
      <c r="M77" s="3"/>
      <c r="N77" s="3"/>
      <c r="O77" s="3"/>
      <c r="P77" s="3"/>
      <c r="Q77" s="3"/>
      <c r="R77" s="3"/>
      <c r="S77" s="3"/>
      <c r="T77" s="3"/>
      <c r="U77" s="3"/>
      <c r="V77" s="3"/>
      <c r="W77" s="3"/>
      <c r="X77" s="3"/>
      <c r="Y77" s="3"/>
      <c r="Z77" s="3"/>
      <c r="AA77" s="3"/>
      <c r="AB77" s="3"/>
    </row>
    <row r="78">
      <c r="A78" s="20"/>
      <c r="B78" s="20"/>
      <c r="C78" s="20"/>
      <c r="D78" s="20"/>
      <c r="E78" s="20"/>
      <c r="F78" s="20"/>
      <c r="G78" s="20"/>
      <c r="H78" s="20"/>
      <c r="I78" s="20"/>
      <c r="J78" s="3"/>
      <c r="K78" s="3"/>
      <c r="L78" s="3"/>
      <c r="M78" s="3"/>
      <c r="N78" s="3"/>
      <c r="O78" s="3"/>
      <c r="P78" s="3"/>
      <c r="Q78" s="3"/>
      <c r="R78" s="3"/>
      <c r="S78" s="3"/>
      <c r="T78" s="3"/>
      <c r="U78" s="3"/>
      <c r="V78" s="3"/>
      <c r="W78" s="3"/>
      <c r="X78" s="3"/>
      <c r="Y78" s="3"/>
      <c r="Z78" s="3"/>
      <c r="AA78" s="3"/>
      <c r="AB78" s="3"/>
    </row>
    <row r="79">
      <c r="A79" s="20"/>
      <c r="B79" s="20"/>
      <c r="C79" s="20"/>
      <c r="D79" s="20"/>
      <c r="E79" s="20"/>
      <c r="F79" s="20"/>
      <c r="G79" s="20"/>
      <c r="H79" s="20"/>
      <c r="I79" s="20"/>
      <c r="J79" s="3"/>
      <c r="K79" s="3"/>
      <c r="L79" s="3"/>
      <c r="M79" s="3"/>
      <c r="N79" s="3"/>
      <c r="O79" s="3"/>
      <c r="P79" s="3"/>
      <c r="Q79" s="3"/>
      <c r="R79" s="3"/>
      <c r="S79" s="3"/>
      <c r="T79" s="3"/>
      <c r="U79" s="3"/>
      <c r="V79" s="3"/>
      <c r="W79" s="3"/>
      <c r="X79" s="3"/>
      <c r="Y79" s="3"/>
      <c r="Z79" s="3"/>
      <c r="AA79" s="3"/>
      <c r="AB79" s="3"/>
    </row>
    <row r="80">
      <c r="A80" s="20"/>
      <c r="B80" s="20"/>
      <c r="C80" s="20"/>
      <c r="D80" s="20"/>
      <c r="E80" s="20"/>
      <c r="F80" s="20"/>
      <c r="G80" s="20"/>
      <c r="H80" s="20"/>
      <c r="I80" s="20"/>
      <c r="J80" s="3"/>
      <c r="K80" s="3"/>
      <c r="L80" s="3"/>
      <c r="M80" s="3"/>
      <c r="N80" s="3"/>
      <c r="O80" s="3"/>
      <c r="P80" s="3"/>
      <c r="Q80" s="3"/>
      <c r="R80" s="3"/>
      <c r="S80" s="3"/>
      <c r="T80" s="3"/>
      <c r="U80" s="3"/>
      <c r="V80" s="3"/>
      <c r="W80" s="3"/>
      <c r="X80" s="3"/>
      <c r="Y80" s="3"/>
      <c r="Z80" s="3"/>
      <c r="AA80" s="3"/>
      <c r="AB80" s="3"/>
    </row>
    <row r="81">
      <c r="A81" s="20"/>
      <c r="B81" s="20"/>
      <c r="C81" s="20"/>
      <c r="D81" s="20"/>
      <c r="E81" s="20"/>
      <c r="F81" s="20"/>
      <c r="G81" s="20"/>
      <c r="H81" s="20"/>
      <c r="I81" s="20"/>
      <c r="J81" s="3"/>
      <c r="K81" s="3"/>
      <c r="L81" s="3"/>
      <c r="M81" s="3"/>
      <c r="N81" s="3"/>
      <c r="O81" s="3"/>
      <c r="P81" s="3"/>
      <c r="Q81" s="3"/>
      <c r="R81" s="3"/>
      <c r="S81" s="3"/>
      <c r="T81" s="3"/>
      <c r="U81" s="3"/>
      <c r="V81" s="3"/>
      <c r="W81" s="3"/>
      <c r="X81" s="3"/>
      <c r="Y81" s="3"/>
      <c r="Z81" s="3"/>
      <c r="AA81" s="3"/>
      <c r="AB81" s="3"/>
    </row>
    <row r="82">
      <c r="A82" s="20"/>
      <c r="B82" s="20"/>
      <c r="C82" s="20"/>
      <c r="D82" s="20"/>
      <c r="E82" s="20"/>
      <c r="F82" s="20"/>
      <c r="G82" s="20"/>
      <c r="H82" s="20"/>
      <c r="I82" s="20"/>
      <c r="J82" s="3"/>
      <c r="K82" s="3"/>
      <c r="L82" s="3"/>
      <c r="M82" s="3"/>
      <c r="N82" s="3"/>
      <c r="O82" s="3"/>
      <c r="P82" s="3"/>
      <c r="Q82" s="3"/>
      <c r="R82" s="3"/>
      <c r="S82" s="3"/>
      <c r="T82" s="3"/>
      <c r="U82" s="3"/>
      <c r="V82" s="3"/>
      <c r="W82" s="3"/>
      <c r="X82" s="3"/>
      <c r="Y82" s="3"/>
      <c r="Z82" s="3"/>
      <c r="AA82" s="3"/>
      <c r="AB82" s="3"/>
    </row>
    <row r="83">
      <c r="A83" s="20"/>
      <c r="B83" s="20"/>
      <c r="C83" s="20"/>
      <c r="D83" s="20"/>
      <c r="E83" s="20"/>
      <c r="F83" s="20"/>
      <c r="G83" s="20"/>
      <c r="H83" s="20"/>
      <c r="I83" s="20"/>
      <c r="J83" s="3"/>
      <c r="K83" s="3"/>
      <c r="L83" s="3"/>
      <c r="M83" s="3"/>
      <c r="N83" s="3"/>
      <c r="O83" s="3"/>
      <c r="P83" s="3"/>
      <c r="Q83" s="3"/>
      <c r="R83" s="3"/>
      <c r="S83" s="3"/>
      <c r="T83" s="3"/>
      <c r="U83" s="3"/>
      <c r="V83" s="3"/>
      <c r="W83" s="3"/>
      <c r="X83" s="3"/>
      <c r="Y83" s="3"/>
      <c r="Z83" s="3"/>
      <c r="AA83" s="3"/>
      <c r="AB83" s="3"/>
    </row>
    <row r="84">
      <c r="A84" s="20"/>
      <c r="B84" s="20"/>
      <c r="C84" s="20"/>
      <c r="D84" s="20"/>
      <c r="E84" s="20"/>
      <c r="F84" s="20"/>
      <c r="G84" s="20"/>
      <c r="H84" s="20"/>
      <c r="I84" s="20"/>
      <c r="J84" s="3"/>
      <c r="K84" s="3"/>
      <c r="L84" s="3"/>
      <c r="M84" s="3"/>
      <c r="N84" s="3"/>
      <c r="O84" s="3"/>
      <c r="P84" s="3"/>
      <c r="Q84" s="3"/>
      <c r="R84" s="3"/>
      <c r="S84" s="3"/>
      <c r="T84" s="3"/>
      <c r="U84" s="3"/>
      <c r="V84" s="3"/>
      <c r="W84" s="3"/>
      <c r="X84" s="3"/>
      <c r="Y84" s="3"/>
      <c r="Z84" s="3"/>
      <c r="AA84" s="3"/>
      <c r="AB84" s="3"/>
    </row>
    <row r="85">
      <c r="A85" s="20"/>
      <c r="B85" s="20"/>
      <c r="C85" s="20"/>
      <c r="D85" s="20"/>
      <c r="E85" s="20"/>
      <c r="F85" s="20"/>
      <c r="G85" s="20"/>
      <c r="H85" s="20"/>
      <c r="I85" s="20"/>
      <c r="J85" s="3"/>
      <c r="K85" s="3"/>
      <c r="L85" s="3"/>
      <c r="M85" s="3"/>
      <c r="N85" s="3"/>
      <c r="O85" s="3"/>
      <c r="P85" s="3"/>
      <c r="Q85" s="3"/>
      <c r="R85" s="3"/>
      <c r="S85" s="3"/>
      <c r="T85" s="3"/>
      <c r="U85" s="3"/>
      <c r="V85" s="3"/>
      <c r="W85" s="3"/>
      <c r="X85" s="3"/>
      <c r="Y85" s="3"/>
      <c r="Z85" s="3"/>
      <c r="AA85" s="3"/>
      <c r="AB85" s="3"/>
    </row>
    <row r="86">
      <c r="A86" s="20"/>
      <c r="B86" s="20"/>
      <c r="C86" s="20"/>
      <c r="D86" s="20"/>
      <c r="E86" s="20"/>
      <c r="F86" s="20"/>
      <c r="G86" s="20"/>
      <c r="H86" s="20"/>
      <c r="I86" s="20"/>
      <c r="J86" s="3"/>
      <c r="K86" s="3"/>
      <c r="L86" s="3"/>
      <c r="M86" s="3"/>
      <c r="N86" s="3"/>
      <c r="O86" s="3"/>
      <c r="P86" s="3"/>
      <c r="Q86" s="3"/>
      <c r="R86" s="3"/>
      <c r="S86" s="3"/>
      <c r="T86" s="3"/>
      <c r="U86" s="3"/>
      <c r="V86" s="3"/>
      <c r="W86" s="3"/>
      <c r="X86" s="3"/>
      <c r="Y86" s="3"/>
      <c r="Z86" s="3"/>
      <c r="AA86" s="3"/>
      <c r="AB86" s="3"/>
    </row>
    <row r="87">
      <c r="A87" s="20"/>
      <c r="B87" s="20"/>
      <c r="C87" s="20"/>
      <c r="D87" s="20"/>
      <c r="E87" s="20"/>
      <c r="F87" s="20"/>
      <c r="G87" s="20"/>
      <c r="H87" s="20"/>
      <c r="I87" s="20"/>
      <c r="J87" s="3"/>
      <c r="K87" s="3"/>
      <c r="L87" s="3"/>
      <c r="M87" s="3"/>
      <c r="N87" s="3"/>
      <c r="O87" s="3"/>
      <c r="P87" s="3"/>
      <c r="Q87" s="3"/>
      <c r="R87" s="3"/>
      <c r="S87" s="3"/>
      <c r="T87" s="3"/>
      <c r="U87" s="3"/>
      <c r="V87" s="3"/>
      <c r="W87" s="3"/>
      <c r="X87" s="3"/>
      <c r="Y87" s="3"/>
      <c r="Z87" s="3"/>
      <c r="AA87" s="3"/>
      <c r="AB87" s="3"/>
    </row>
    <row r="88">
      <c r="A88" s="20"/>
      <c r="B88" s="20"/>
      <c r="C88" s="20"/>
      <c r="D88" s="20"/>
      <c r="E88" s="20"/>
      <c r="F88" s="20"/>
      <c r="G88" s="20"/>
      <c r="H88" s="20"/>
      <c r="I88" s="20"/>
      <c r="J88" s="3"/>
      <c r="K88" s="3"/>
      <c r="L88" s="3"/>
      <c r="M88" s="3"/>
      <c r="N88" s="3"/>
      <c r="O88" s="3"/>
      <c r="P88" s="3"/>
      <c r="Q88" s="3"/>
      <c r="R88" s="3"/>
      <c r="S88" s="3"/>
      <c r="T88" s="3"/>
      <c r="U88" s="3"/>
      <c r="V88" s="3"/>
      <c r="W88" s="3"/>
      <c r="X88" s="3"/>
      <c r="Y88" s="3"/>
      <c r="Z88" s="3"/>
      <c r="AA88" s="3"/>
      <c r="AB88" s="3"/>
    </row>
    <row r="89">
      <c r="A89" s="20"/>
      <c r="B89" s="20"/>
      <c r="C89" s="20"/>
      <c r="D89" s="20"/>
      <c r="E89" s="20"/>
      <c r="F89" s="20"/>
      <c r="G89" s="20"/>
      <c r="H89" s="20"/>
      <c r="I89" s="20"/>
      <c r="J89" s="3"/>
      <c r="K89" s="3"/>
      <c r="L89" s="3"/>
      <c r="M89" s="3"/>
      <c r="N89" s="3"/>
      <c r="O89" s="3"/>
      <c r="P89" s="3"/>
      <c r="Q89" s="3"/>
      <c r="R89" s="3"/>
      <c r="S89" s="3"/>
      <c r="T89" s="3"/>
      <c r="U89" s="3"/>
      <c r="V89" s="3"/>
      <c r="W89" s="3"/>
      <c r="X89" s="3"/>
      <c r="Y89" s="3"/>
      <c r="Z89" s="3"/>
      <c r="AA89" s="3"/>
      <c r="AB89" s="3"/>
    </row>
    <row r="90">
      <c r="A90" s="20"/>
      <c r="B90" s="20"/>
      <c r="C90" s="20"/>
      <c r="D90" s="20"/>
      <c r="E90" s="20"/>
      <c r="F90" s="20"/>
      <c r="G90" s="20"/>
      <c r="H90" s="20"/>
      <c r="I90" s="20"/>
      <c r="J90" s="3"/>
      <c r="K90" s="3"/>
      <c r="L90" s="3"/>
      <c r="M90" s="3"/>
      <c r="N90" s="3"/>
      <c r="O90" s="3"/>
      <c r="P90" s="3"/>
      <c r="Q90" s="3"/>
      <c r="R90" s="3"/>
      <c r="S90" s="3"/>
      <c r="T90" s="3"/>
      <c r="U90" s="3"/>
      <c r="V90" s="3"/>
      <c r="W90" s="3"/>
      <c r="X90" s="3"/>
      <c r="Y90" s="3"/>
      <c r="Z90" s="3"/>
      <c r="AA90" s="3"/>
      <c r="AB90" s="3"/>
    </row>
    <row r="91">
      <c r="A91" s="20"/>
      <c r="B91" s="20"/>
      <c r="C91" s="20"/>
      <c r="D91" s="20"/>
      <c r="E91" s="20"/>
      <c r="F91" s="20"/>
      <c r="G91" s="20"/>
      <c r="H91" s="20"/>
      <c r="I91" s="20"/>
      <c r="J91" s="3"/>
      <c r="K91" s="3"/>
      <c r="L91" s="3"/>
      <c r="M91" s="3"/>
      <c r="N91" s="3"/>
      <c r="O91" s="3"/>
      <c r="P91" s="3"/>
      <c r="Q91" s="3"/>
      <c r="R91" s="3"/>
      <c r="S91" s="3"/>
      <c r="T91" s="3"/>
      <c r="U91" s="3"/>
      <c r="V91" s="3"/>
      <c r="W91" s="3"/>
      <c r="X91" s="3"/>
      <c r="Y91" s="3"/>
      <c r="Z91" s="3"/>
      <c r="AA91" s="3"/>
      <c r="AB91" s="3"/>
    </row>
    <row r="92">
      <c r="A92" s="20"/>
      <c r="B92" s="20"/>
      <c r="C92" s="20"/>
      <c r="D92" s="20"/>
      <c r="E92" s="20"/>
      <c r="F92" s="20"/>
      <c r="G92" s="20"/>
      <c r="H92" s="20"/>
      <c r="I92" s="20"/>
      <c r="J92" s="3"/>
      <c r="K92" s="3"/>
      <c r="L92" s="3"/>
      <c r="M92" s="3"/>
      <c r="N92" s="3"/>
      <c r="O92" s="3"/>
      <c r="P92" s="3"/>
      <c r="Q92" s="3"/>
      <c r="R92" s="3"/>
      <c r="S92" s="3"/>
      <c r="T92" s="3"/>
      <c r="U92" s="3"/>
      <c r="V92" s="3"/>
      <c r="W92" s="3"/>
      <c r="X92" s="3"/>
      <c r="Y92" s="3"/>
      <c r="Z92" s="3"/>
      <c r="AA92" s="3"/>
      <c r="AB92" s="3"/>
    </row>
    <row r="93">
      <c r="A93" s="20"/>
      <c r="B93" s="20"/>
      <c r="C93" s="20"/>
      <c r="D93" s="20"/>
      <c r="E93" s="20"/>
      <c r="F93" s="20"/>
      <c r="G93" s="20"/>
      <c r="H93" s="20"/>
      <c r="I93" s="20"/>
      <c r="J93" s="3"/>
      <c r="K93" s="3"/>
      <c r="L93" s="3"/>
      <c r="M93" s="3"/>
      <c r="N93" s="3"/>
      <c r="O93" s="3"/>
      <c r="P93" s="3"/>
      <c r="Q93" s="3"/>
      <c r="R93" s="3"/>
      <c r="S93" s="3"/>
      <c r="T93" s="3"/>
      <c r="U93" s="3"/>
      <c r="V93" s="3"/>
      <c r="W93" s="3"/>
      <c r="X93" s="3"/>
      <c r="Y93" s="3"/>
      <c r="Z93" s="3"/>
      <c r="AA93" s="3"/>
      <c r="AB93" s="3"/>
    </row>
    <row r="94">
      <c r="A94" s="20"/>
      <c r="B94" s="20"/>
      <c r="C94" s="20"/>
      <c r="D94" s="20"/>
      <c r="E94" s="20"/>
      <c r="F94" s="20"/>
      <c r="G94" s="20"/>
      <c r="H94" s="20"/>
      <c r="I94" s="20"/>
      <c r="J94" s="3"/>
      <c r="K94" s="3"/>
      <c r="L94" s="3"/>
      <c r="M94" s="3"/>
      <c r="N94" s="3"/>
      <c r="O94" s="3"/>
      <c r="P94" s="3"/>
      <c r="Q94" s="3"/>
      <c r="R94" s="3"/>
      <c r="S94" s="3"/>
      <c r="T94" s="3"/>
      <c r="U94" s="3"/>
      <c r="V94" s="3"/>
      <c r="W94" s="3"/>
      <c r="X94" s="3"/>
      <c r="Y94" s="3"/>
      <c r="Z94" s="3"/>
      <c r="AA94" s="3"/>
      <c r="AB94" s="3"/>
    </row>
    <row r="95">
      <c r="A95" s="20"/>
      <c r="B95" s="20"/>
      <c r="C95" s="20"/>
      <c r="D95" s="20"/>
      <c r="E95" s="20"/>
      <c r="F95" s="20"/>
      <c r="G95" s="20"/>
      <c r="H95" s="20"/>
      <c r="I95" s="20"/>
      <c r="J95" s="3"/>
      <c r="K95" s="3"/>
      <c r="L95" s="3"/>
      <c r="M95" s="3"/>
      <c r="N95" s="3"/>
      <c r="O95" s="3"/>
      <c r="P95" s="3"/>
      <c r="Q95" s="3"/>
      <c r="R95" s="3"/>
      <c r="S95" s="3"/>
      <c r="T95" s="3"/>
      <c r="U95" s="3"/>
      <c r="V95" s="3"/>
      <c r="W95" s="3"/>
      <c r="X95" s="3"/>
      <c r="Y95" s="3"/>
      <c r="Z95" s="3"/>
      <c r="AA95" s="3"/>
      <c r="AB95" s="3"/>
    </row>
    <row r="96">
      <c r="A96" s="20"/>
      <c r="B96" s="20"/>
      <c r="C96" s="20"/>
      <c r="D96" s="20"/>
      <c r="E96" s="20"/>
      <c r="F96" s="20"/>
      <c r="G96" s="20"/>
      <c r="H96" s="20"/>
      <c r="I96" s="20"/>
      <c r="J96" s="3"/>
      <c r="K96" s="3"/>
      <c r="L96" s="3"/>
      <c r="M96" s="3"/>
      <c r="N96" s="3"/>
      <c r="O96" s="3"/>
      <c r="P96" s="3"/>
      <c r="Q96" s="3"/>
      <c r="R96" s="3"/>
      <c r="S96" s="3"/>
      <c r="T96" s="3"/>
      <c r="U96" s="3"/>
      <c r="V96" s="3"/>
      <c r="W96" s="3"/>
      <c r="X96" s="3"/>
      <c r="Y96" s="3"/>
      <c r="Z96" s="3"/>
      <c r="AA96" s="3"/>
      <c r="AB96" s="3"/>
    </row>
    <row r="97">
      <c r="A97" s="20"/>
      <c r="B97" s="20"/>
      <c r="C97" s="20"/>
      <c r="D97" s="20"/>
      <c r="E97" s="20"/>
      <c r="F97" s="20"/>
      <c r="G97" s="20"/>
      <c r="H97" s="20"/>
      <c r="I97" s="20"/>
      <c r="J97" s="3"/>
      <c r="K97" s="3"/>
      <c r="L97" s="3"/>
      <c r="M97" s="3"/>
      <c r="N97" s="3"/>
      <c r="O97" s="3"/>
      <c r="P97" s="3"/>
      <c r="Q97" s="3"/>
      <c r="R97" s="3"/>
      <c r="S97" s="3"/>
      <c r="T97" s="3"/>
      <c r="U97" s="3"/>
      <c r="V97" s="3"/>
      <c r="W97" s="3"/>
      <c r="X97" s="3"/>
      <c r="Y97" s="3"/>
      <c r="Z97" s="3"/>
      <c r="AA97" s="3"/>
      <c r="AB97" s="3"/>
    </row>
    <row r="98">
      <c r="A98" s="20"/>
      <c r="B98" s="20"/>
      <c r="C98" s="20"/>
      <c r="D98" s="20"/>
      <c r="E98" s="20"/>
      <c r="F98" s="20"/>
      <c r="G98" s="20"/>
      <c r="H98" s="20"/>
      <c r="I98" s="20"/>
      <c r="J98" s="3"/>
      <c r="K98" s="3"/>
      <c r="L98" s="3"/>
      <c r="M98" s="3"/>
      <c r="N98" s="3"/>
      <c r="O98" s="3"/>
      <c r="P98" s="3"/>
      <c r="Q98" s="3"/>
      <c r="R98" s="3"/>
      <c r="S98" s="3"/>
      <c r="T98" s="3"/>
      <c r="U98" s="3"/>
      <c r="V98" s="3"/>
      <c r="W98" s="3"/>
      <c r="X98" s="3"/>
      <c r="Y98" s="3"/>
      <c r="Z98" s="3"/>
      <c r="AA98" s="3"/>
      <c r="AB98" s="3"/>
    </row>
    <row r="99">
      <c r="A99" s="20"/>
      <c r="B99" s="20"/>
      <c r="C99" s="20"/>
      <c r="D99" s="20"/>
      <c r="E99" s="20"/>
      <c r="F99" s="20"/>
      <c r="G99" s="20"/>
      <c r="H99" s="20"/>
      <c r="I99" s="20"/>
      <c r="J99" s="3"/>
      <c r="K99" s="3"/>
      <c r="L99" s="3"/>
      <c r="M99" s="3"/>
      <c r="N99" s="3"/>
      <c r="O99" s="3"/>
      <c r="P99" s="3"/>
      <c r="Q99" s="3"/>
      <c r="R99" s="3"/>
      <c r="S99" s="3"/>
      <c r="T99" s="3"/>
      <c r="U99" s="3"/>
      <c r="V99" s="3"/>
      <c r="W99" s="3"/>
      <c r="X99" s="3"/>
      <c r="Y99" s="3"/>
      <c r="Z99" s="3"/>
      <c r="AA99" s="3"/>
      <c r="AB99" s="3"/>
    </row>
    <row r="100">
      <c r="A100" s="20"/>
      <c r="B100" s="20"/>
      <c r="C100" s="20"/>
      <c r="D100" s="20"/>
      <c r="E100" s="20"/>
      <c r="F100" s="20"/>
      <c r="G100" s="20"/>
      <c r="H100" s="20"/>
      <c r="I100" s="20"/>
      <c r="J100" s="3"/>
      <c r="K100" s="3"/>
      <c r="L100" s="3"/>
      <c r="M100" s="3"/>
      <c r="N100" s="3"/>
      <c r="O100" s="3"/>
      <c r="P100" s="3"/>
      <c r="Q100" s="3"/>
      <c r="R100" s="3"/>
      <c r="S100" s="3"/>
      <c r="T100" s="3"/>
      <c r="U100" s="3"/>
      <c r="V100" s="3"/>
      <c r="W100" s="3"/>
      <c r="X100" s="3"/>
      <c r="Y100" s="3"/>
      <c r="Z100" s="3"/>
      <c r="AA100" s="3"/>
      <c r="AB100" s="3"/>
    </row>
    <row r="101">
      <c r="A101" s="20"/>
      <c r="B101" s="20"/>
      <c r="C101" s="20"/>
      <c r="D101" s="20"/>
      <c r="E101" s="20"/>
      <c r="F101" s="20"/>
      <c r="G101" s="20"/>
      <c r="H101" s="20"/>
      <c r="I101" s="20"/>
      <c r="J101" s="3"/>
      <c r="K101" s="3"/>
      <c r="L101" s="3"/>
      <c r="M101" s="3"/>
      <c r="N101" s="3"/>
      <c r="O101" s="3"/>
      <c r="P101" s="3"/>
      <c r="Q101" s="3"/>
      <c r="R101" s="3"/>
      <c r="S101" s="3"/>
      <c r="T101" s="3"/>
      <c r="U101" s="3"/>
      <c r="V101" s="3"/>
      <c r="W101" s="3"/>
      <c r="X101" s="3"/>
      <c r="Y101" s="3"/>
      <c r="Z101" s="3"/>
      <c r="AA101" s="3"/>
      <c r="AB101" s="3"/>
    </row>
    <row r="102">
      <c r="A102" s="20"/>
      <c r="B102" s="20"/>
      <c r="C102" s="20"/>
      <c r="D102" s="20"/>
      <c r="E102" s="20"/>
      <c r="F102" s="20"/>
      <c r="G102" s="20"/>
      <c r="H102" s="20"/>
      <c r="I102" s="20"/>
      <c r="J102" s="3"/>
      <c r="K102" s="3"/>
      <c r="L102" s="3"/>
      <c r="M102" s="3"/>
      <c r="N102" s="3"/>
      <c r="O102" s="3"/>
      <c r="P102" s="3"/>
      <c r="Q102" s="3"/>
      <c r="R102" s="3"/>
      <c r="S102" s="3"/>
      <c r="T102" s="3"/>
      <c r="U102" s="3"/>
      <c r="V102" s="3"/>
      <c r="W102" s="3"/>
      <c r="X102" s="3"/>
      <c r="Y102" s="3"/>
      <c r="Z102" s="3"/>
      <c r="AA102" s="3"/>
      <c r="AB102" s="3"/>
    </row>
    <row r="103">
      <c r="A103" s="20"/>
      <c r="B103" s="20"/>
      <c r="C103" s="20"/>
      <c r="D103" s="20"/>
      <c r="E103" s="20"/>
      <c r="F103" s="20"/>
      <c r="G103" s="20"/>
      <c r="H103" s="20"/>
      <c r="I103" s="20"/>
      <c r="J103" s="3"/>
      <c r="K103" s="3"/>
      <c r="L103" s="3"/>
      <c r="M103" s="3"/>
      <c r="N103" s="3"/>
      <c r="O103" s="3"/>
      <c r="P103" s="3"/>
      <c r="Q103" s="3"/>
      <c r="R103" s="3"/>
      <c r="S103" s="3"/>
      <c r="T103" s="3"/>
      <c r="U103" s="3"/>
      <c r="V103" s="3"/>
      <c r="W103" s="3"/>
      <c r="X103" s="3"/>
      <c r="Y103" s="3"/>
      <c r="Z103" s="3"/>
      <c r="AA103" s="3"/>
      <c r="AB103" s="3"/>
    </row>
    <row r="104">
      <c r="A104" s="20"/>
      <c r="B104" s="20"/>
      <c r="C104" s="20"/>
      <c r="D104" s="20"/>
      <c r="E104" s="20"/>
      <c r="F104" s="20"/>
      <c r="G104" s="20"/>
      <c r="H104" s="20"/>
      <c r="I104" s="20"/>
      <c r="J104" s="3"/>
      <c r="K104" s="3"/>
      <c r="L104" s="3"/>
      <c r="M104" s="3"/>
      <c r="N104" s="3"/>
      <c r="O104" s="3"/>
      <c r="P104" s="3"/>
      <c r="Q104" s="3"/>
      <c r="R104" s="3"/>
      <c r="S104" s="3"/>
      <c r="T104" s="3"/>
      <c r="U104" s="3"/>
      <c r="V104" s="3"/>
      <c r="W104" s="3"/>
      <c r="X104" s="3"/>
      <c r="Y104" s="3"/>
      <c r="Z104" s="3"/>
      <c r="AA104" s="3"/>
      <c r="AB104" s="3"/>
    </row>
    <row r="105">
      <c r="A105" s="20"/>
      <c r="B105" s="20"/>
      <c r="C105" s="20"/>
      <c r="D105" s="20"/>
      <c r="E105" s="20"/>
      <c r="F105" s="20"/>
      <c r="G105" s="20"/>
      <c r="H105" s="20"/>
      <c r="I105" s="20"/>
      <c r="J105" s="3"/>
      <c r="K105" s="3"/>
      <c r="L105" s="3"/>
      <c r="M105" s="3"/>
      <c r="N105" s="3"/>
      <c r="O105" s="3"/>
      <c r="P105" s="3"/>
      <c r="Q105" s="3"/>
      <c r="R105" s="3"/>
      <c r="S105" s="3"/>
      <c r="T105" s="3"/>
      <c r="U105" s="3"/>
      <c r="V105" s="3"/>
      <c r="W105" s="3"/>
      <c r="X105" s="3"/>
      <c r="Y105" s="3"/>
      <c r="Z105" s="3"/>
      <c r="AA105" s="3"/>
      <c r="AB105" s="3"/>
    </row>
    <row r="106">
      <c r="A106" s="20"/>
      <c r="B106" s="20"/>
      <c r="C106" s="20"/>
      <c r="D106" s="20"/>
      <c r="E106" s="20"/>
      <c r="F106" s="20"/>
      <c r="G106" s="20"/>
      <c r="H106" s="20"/>
      <c r="I106" s="20"/>
      <c r="J106" s="3"/>
      <c r="K106" s="3"/>
      <c r="L106" s="3"/>
      <c r="M106" s="3"/>
      <c r="N106" s="3"/>
      <c r="O106" s="3"/>
      <c r="P106" s="3"/>
      <c r="Q106" s="3"/>
      <c r="R106" s="3"/>
      <c r="S106" s="3"/>
      <c r="T106" s="3"/>
      <c r="U106" s="3"/>
      <c r="V106" s="3"/>
      <c r="W106" s="3"/>
      <c r="X106" s="3"/>
      <c r="Y106" s="3"/>
      <c r="Z106" s="3"/>
      <c r="AA106" s="3"/>
      <c r="AB106" s="3"/>
    </row>
    <row r="107">
      <c r="A107" s="20"/>
      <c r="B107" s="20"/>
      <c r="C107" s="20"/>
      <c r="D107" s="20"/>
      <c r="E107" s="20"/>
      <c r="F107" s="20"/>
      <c r="G107" s="20"/>
      <c r="H107" s="20"/>
      <c r="I107" s="20"/>
      <c r="J107" s="3"/>
      <c r="K107" s="3"/>
      <c r="L107" s="3"/>
      <c r="M107" s="3"/>
      <c r="N107" s="3"/>
      <c r="O107" s="3"/>
      <c r="P107" s="3"/>
      <c r="Q107" s="3"/>
      <c r="R107" s="3"/>
      <c r="S107" s="3"/>
      <c r="T107" s="3"/>
      <c r="U107" s="3"/>
      <c r="V107" s="3"/>
      <c r="W107" s="3"/>
      <c r="X107" s="3"/>
      <c r="Y107" s="3"/>
      <c r="Z107" s="3"/>
      <c r="AA107" s="3"/>
      <c r="AB107" s="3"/>
    </row>
    <row r="108">
      <c r="A108" s="20"/>
      <c r="B108" s="20"/>
      <c r="C108" s="20"/>
      <c r="D108" s="20"/>
      <c r="E108" s="20"/>
      <c r="F108" s="20"/>
      <c r="G108" s="20"/>
      <c r="H108" s="20"/>
      <c r="I108" s="20"/>
      <c r="J108" s="3"/>
      <c r="K108" s="3"/>
      <c r="L108" s="3"/>
      <c r="M108" s="3"/>
      <c r="N108" s="3"/>
      <c r="O108" s="3"/>
      <c r="P108" s="3"/>
      <c r="Q108" s="3"/>
      <c r="R108" s="3"/>
      <c r="S108" s="3"/>
      <c r="T108" s="3"/>
      <c r="U108" s="3"/>
      <c r="V108" s="3"/>
      <c r="W108" s="3"/>
      <c r="X108" s="3"/>
      <c r="Y108" s="3"/>
      <c r="Z108" s="3"/>
      <c r="AA108" s="3"/>
      <c r="AB108" s="3"/>
    </row>
    <row r="109">
      <c r="A109" s="20"/>
      <c r="B109" s="20"/>
      <c r="C109" s="20"/>
      <c r="D109" s="20"/>
      <c r="E109" s="20"/>
      <c r="F109" s="20"/>
      <c r="G109" s="20"/>
      <c r="H109" s="20"/>
      <c r="I109" s="20"/>
      <c r="J109" s="3"/>
      <c r="K109" s="3"/>
      <c r="L109" s="3"/>
      <c r="M109" s="3"/>
      <c r="N109" s="3"/>
      <c r="O109" s="3"/>
      <c r="P109" s="3"/>
      <c r="Q109" s="3"/>
      <c r="R109" s="3"/>
      <c r="S109" s="3"/>
      <c r="T109" s="3"/>
      <c r="U109" s="3"/>
      <c r="V109" s="3"/>
      <c r="W109" s="3"/>
      <c r="X109" s="3"/>
      <c r="Y109" s="3"/>
      <c r="Z109" s="3"/>
      <c r="AA109" s="3"/>
      <c r="AB109" s="3"/>
    </row>
    <row r="110">
      <c r="A110" s="20"/>
      <c r="B110" s="20"/>
      <c r="C110" s="20"/>
      <c r="D110" s="20"/>
      <c r="E110" s="20"/>
      <c r="F110" s="20"/>
      <c r="G110" s="20"/>
      <c r="H110" s="20"/>
      <c r="I110" s="20"/>
      <c r="J110" s="3"/>
      <c r="K110" s="3"/>
      <c r="L110" s="3"/>
      <c r="M110" s="3"/>
      <c r="N110" s="3"/>
      <c r="O110" s="3"/>
      <c r="P110" s="3"/>
      <c r="Q110" s="3"/>
      <c r="R110" s="3"/>
      <c r="S110" s="3"/>
      <c r="T110" s="3"/>
      <c r="U110" s="3"/>
      <c r="V110" s="3"/>
      <c r="W110" s="3"/>
      <c r="X110" s="3"/>
      <c r="Y110" s="3"/>
      <c r="Z110" s="3"/>
      <c r="AA110" s="3"/>
      <c r="AB110" s="3"/>
    </row>
    <row r="111">
      <c r="A111" s="20"/>
      <c r="B111" s="20"/>
      <c r="C111" s="20"/>
      <c r="D111" s="20"/>
      <c r="E111" s="20"/>
      <c r="F111" s="20"/>
      <c r="G111" s="20"/>
      <c r="H111" s="20"/>
      <c r="I111" s="20"/>
      <c r="J111" s="3"/>
      <c r="K111" s="3"/>
      <c r="L111" s="3"/>
      <c r="M111" s="3"/>
      <c r="N111" s="3"/>
      <c r="O111" s="3"/>
      <c r="P111" s="3"/>
      <c r="Q111" s="3"/>
      <c r="R111" s="3"/>
      <c r="S111" s="3"/>
      <c r="T111" s="3"/>
      <c r="U111" s="3"/>
      <c r="V111" s="3"/>
      <c r="W111" s="3"/>
      <c r="X111" s="3"/>
      <c r="Y111" s="3"/>
      <c r="Z111" s="3"/>
      <c r="AA111" s="3"/>
      <c r="AB111" s="3"/>
    </row>
    <row r="112">
      <c r="A112" s="20"/>
      <c r="B112" s="20"/>
      <c r="C112" s="20"/>
      <c r="D112" s="20"/>
      <c r="E112" s="20"/>
      <c r="F112" s="20"/>
      <c r="G112" s="20"/>
      <c r="H112" s="20"/>
      <c r="I112" s="20"/>
      <c r="J112" s="3"/>
      <c r="K112" s="3"/>
      <c r="L112" s="3"/>
      <c r="M112" s="3"/>
      <c r="N112" s="3"/>
      <c r="O112" s="3"/>
      <c r="P112" s="3"/>
      <c r="Q112" s="3"/>
      <c r="R112" s="3"/>
      <c r="S112" s="3"/>
      <c r="T112" s="3"/>
      <c r="U112" s="3"/>
      <c r="V112" s="3"/>
      <c r="W112" s="3"/>
      <c r="X112" s="3"/>
      <c r="Y112" s="3"/>
      <c r="Z112" s="3"/>
      <c r="AA112" s="3"/>
      <c r="AB112" s="3"/>
    </row>
    <row r="113">
      <c r="A113" s="20"/>
      <c r="B113" s="20"/>
      <c r="C113" s="20"/>
      <c r="D113" s="20"/>
      <c r="E113" s="20"/>
      <c r="F113" s="20"/>
      <c r="G113" s="20"/>
      <c r="H113" s="20"/>
      <c r="I113" s="20"/>
      <c r="J113" s="3"/>
      <c r="K113" s="3"/>
      <c r="L113" s="3"/>
      <c r="M113" s="3"/>
      <c r="N113" s="3"/>
      <c r="O113" s="3"/>
      <c r="P113" s="3"/>
      <c r="Q113" s="3"/>
      <c r="R113" s="3"/>
      <c r="S113" s="3"/>
      <c r="T113" s="3"/>
      <c r="U113" s="3"/>
      <c r="V113" s="3"/>
      <c r="W113" s="3"/>
      <c r="X113" s="3"/>
      <c r="Y113" s="3"/>
      <c r="Z113" s="3"/>
      <c r="AA113" s="3"/>
      <c r="AB113" s="3"/>
    </row>
    <row r="114">
      <c r="A114" s="20"/>
      <c r="B114" s="20"/>
      <c r="C114" s="20"/>
      <c r="D114" s="20"/>
      <c r="E114" s="20"/>
      <c r="F114" s="20"/>
      <c r="G114" s="20"/>
      <c r="H114" s="20"/>
      <c r="I114" s="20"/>
      <c r="J114" s="3"/>
      <c r="K114" s="3"/>
      <c r="L114" s="3"/>
      <c r="M114" s="3"/>
      <c r="N114" s="3"/>
      <c r="O114" s="3"/>
      <c r="P114" s="3"/>
      <c r="Q114" s="3"/>
      <c r="R114" s="3"/>
      <c r="S114" s="3"/>
      <c r="T114" s="3"/>
      <c r="U114" s="3"/>
      <c r="V114" s="3"/>
      <c r="W114" s="3"/>
      <c r="X114" s="3"/>
      <c r="Y114" s="3"/>
      <c r="Z114" s="3"/>
      <c r="AA114" s="3"/>
      <c r="AB114" s="3"/>
    </row>
    <row r="115">
      <c r="A115" s="20"/>
      <c r="B115" s="20"/>
      <c r="C115" s="20"/>
      <c r="D115" s="20"/>
      <c r="E115" s="20"/>
      <c r="F115" s="20"/>
      <c r="G115" s="20"/>
      <c r="H115" s="20"/>
      <c r="I115" s="20"/>
      <c r="J115" s="3"/>
      <c r="K115" s="3"/>
      <c r="L115" s="3"/>
      <c r="M115" s="3"/>
      <c r="N115" s="3"/>
      <c r="O115" s="3"/>
      <c r="P115" s="3"/>
      <c r="Q115" s="3"/>
      <c r="R115" s="3"/>
      <c r="S115" s="3"/>
      <c r="T115" s="3"/>
      <c r="U115" s="3"/>
      <c r="V115" s="3"/>
      <c r="W115" s="3"/>
      <c r="X115" s="3"/>
      <c r="Y115" s="3"/>
      <c r="Z115" s="3"/>
      <c r="AA115" s="3"/>
      <c r="AB115" s="3"/>
    </row>
    <row r="116">
      <c r="A116" s="20"/>
      <c r="B116" s="20"/>
      <c r="C116" s="20"/>
      <c r="D116" s="20"/>
      <c r="E116" s="20"/>
      <c r="F116" s="20"/>
      <c r="G116" s="20"/>
      <c r="H116" s="20"/>
      <c r="I116" s="20"/>
      <c r="J116" s="3"/>
      <c r="K116" s="3"/>
      <c r="L116" s="3"/>
      <c r="M116" s="3"/>
      <c r="N116" s="3"/>
      <c r="O116" s="3"/>
      <c r="P116" s="3"/>
      <c r="Q116" s="3"/>
      <c r="R116" s="3"/>
      <c r="S116" s="3"/>
      <c r="T116" s="3"/>
      <c r="U116" s="3"/>
      <c r="V116" s="3"/>
      <c r="W116" s="3"/>
      <c r="X116" s="3"/>
      <c r="Y116" s="3"/>
      <c r="Z116" s="3"/>
      <c r="AA116" s="3"/>
      <c r="AB116" s="3"/>
    </row>
    <row r="117">
      <c r="A117" s="20"/>
      <c r="B117" s="20"/>
      <c r="C117" s="20"/>
      <c r="D117" s="20"/>
      <c r="E117" s="20"/>
      <c r="F117" s="20"/>
      <c r="G117" s="20"/>
      <c r="H117" s="20"/>
      <c r="I117" s="20"/>
      <c r="J117" s="3"/>
      <c r="K117" s="3"/>
      <c r="L117" s="3"/>
      <c r="M117" s="3"/>
      <c r="N117" s="3"/>
      <c r="O117" s="3"/>
      <c r="P117" s="3"/>
      <c r="Q117" s="3"/>
      <c r="R117" s="3"/>
      <c r="S117" s="3"/>
      <c r="T117" s="3"/>
      <c r="U117" s="3"/>
      <c r="V117" s="3"/>
      <c r="W117" s="3"/>
      <c r="X117" s="3"/>
      <c r="Y117" s="3"/>
      <c r="Z117" s="3"/>
      <c r="AA117" s="3"/>
      <c r="AB117" s="3"/>
    </row>
    <row r="118">
      <c r="A118" s="20"/>
      <c r="B118" s="20"/>
      <c r="C118" s="20"/>
      <c r="D118" s="20"/>
      <c r="E118" s="20"/>
      <c r="F118" s="20"/>
      <c r="G118" s="20"/>
      <c r="H118" s="20"/>
      <c r="I118" s="20"/>
      <c r="J118" s="3"/>
      <c r="K118" s="3"/>
      <c r="L118" s="3"/>
      <c r="M118" s="3"/>
      <c r="N118" s="3"/>
      <c r="O118" s="3"/>
      <c r="P118" s="3"/>
      <c r="Q118" s="3"/>
      <c r="R118" s="3"/>
      <c r="S118" s="3"/>
      <c r="T118" s="3"/>
      <c r="U118" s="3"/>
      <c r="V118" s="3"/>
      <c r="W118" s="3"/>
      <c r="X118" s="3"/>
      <c r="Y118" s="3"/>
      <c r="Z118" s="3"/>
      <c r="AA118" s="3"/>
      <c r="AB118" s="3"/>
    </row>
    <row r="119">
      <c r="A119" s="20"/>
      <c r="B119" s="20"/>
      <c r="C119" s="20"/>
      <c r="D119" s="20"/>
      <c r="E119" s="20"/>
      <c r="F119" s="20"/>
      <c r="G119" s="20"/>
      <c r="H119" s="20"/>
      <c r="I119" s="20"/>
      <c r="J119" s="3"/>
      <c r="K119" s="3"/>
      <c r="L119" s="3"/>
      <c r="M119" s="3"/>
      <c r="N119" s="3"/>
      <c r="O119" s="3"/>
      <c r="P119" s="3"/>
      <c r="Q119" s="3"/>
      <c r="R119" s="3"/>
      <c r="S119" s="3"/>
      <c r="T119" s="3"/>
      <c r="U119" s="3"/>
      <c r="V119" s="3"/>
      <c r="W119" s="3"/>
      <c r="X119" s="3"/>
      <c r="Y119" s="3"/>
      <c r="Z119" s="3"/>
      <c r="AA119" s="3"/>
      <c r="AB119" s="3"/>
    </row>
    <row r="120">
      <c r="A120" s="20"/>
      <c r="B120" s="20"/>
      <c r="C120" s="20"/>
      <c r="D120" s="20"/>
      <c r="E120" s="20"/>
      <c r="F120" s="20"/>
      <c r="G120" s="20"/>
      <c r="H120" s="20"/>
      <c r="I120" s="20"/>
      <c r="J120" s="3"/>
      <c r="K120" s="3"/>
      <c r="L120" s="3"/>
      <c r="M120" s="3"/>
      <c r="N120" s="3"/>
      <c r="O120" s="3"/>
      <c r="P120" s="3"/>
      <c r="Q120" s="3"/>
      <c r="R120" s="3"/>
      <c r="S120" s="3"/>
      <c r="T120" s="3"/>
      <c r="U120" s="3"/>
      <c r="V120" s="3"/>
      <c r="W120" s="3"/>
      <c r="X120" s="3"/>
      <c r="Y120" s="3"/>
      <c r="Z120" s="3"/>
      <c r="AA120" s="3"/>
      <c r="AB120" s="3"/>
    </row>
    <row r="121">
      <c r="A121" s="20"/>
      <c r="B121" s="20"/>
      <c r="C121" s="20"/>
      <c r="D121" s="20"/>
      <c r="E121" s="20"/>
      <c r="F121" s="20"/>
      <c r="G121" s="20"/>
      <c r="H121" s="20"/>
      <c r="I121" s="20"/>
      <c r="J121" s="3"/>
      <c r="K121" s="3"/>
      <c r="L121" s="3"/>
      <c r="M121" s="3"/>
      <c r="N121" s="3"/>
      <c r="O121" s="3"/>
      <c r="P121" s="3"/>
      <c r="Q121" s="3"/>
      <c r="R121" s="3"/>
      <c r="S121" s="3"/>
      <c r="T121" s="3"/>
      <c r="U121" s="3"/>
      <c r="V121" s="3"/>
      <c r="W121" s="3"/>
      <c r="X121" s="3"/>
      <c r="Y121" s="3"/>
      <c r="Z121" s="3"/>
      <c r="AA121" s="3"/>
      <c r="AB121" s="3"/>
    </row>
    <row r="122">
      <c r="A122" s="20"/>
      <c r="B122" s="20"/>
      <c r="C122" s="20"/>
      <c r="D122" s="20"/>
      <c r="E122" s="20"/>
      <c r="F122" s="20"/>
      <c r="G122" s="20"/>
      <c r="H122" s="20"/>
      <c r="I122" s="20"/>
      <c r="J122" s="3"/>
      <c r="K122" s="3"/>
      <c r="L122" s="3"/>
      <c r="M122" s="3"/>
      <c r="N122" s="3"/>
      <c r="O122" s="3"/>
      <c r="P122" s="3"/>
      <c r="Q122" s="3"/>
      <c r="R122" s="3"/>
      <c r="S122" s="3"/>
      <c r="T122" s="3"/>
      <c r="U122" s="3"/>
      <c r="V122" s="3"/>
      <c r="W122" s="3"/>
      <c r="X122" s="3"/>
      <c r="Y122" s="3"/>
      <c r="Z122" s="3"/>
      <c r="AA122" s="3"/>
      <c r="AB122" s="3"/>
    </row>
    <row r="123">
      <c r="A123" s="20"/>
      <c r="B123" s="20"/>
      <c r="C123" s="20"/>
      <c r="D123" s="20"/>
      <c r="E123" s="20"/>
      <c r="F123" s="20"/>
      <c r="G123" s="20"/>
      <c r="H123" s="20"/>
      <c r="I123" s="20"/>
      <c r="J123" s="3"/>
      <c r="K123" s="3"/>
      <c r="L123" s="3"/>
      <c r="M123" s="3"/>
      <c r="N123" s="3"/>
      <c r="O123" s="3"/>
      <c r="P123" s="3"/>
      <c r="Q123" s="3"/>
      <c r="R123" s="3"/>
      <c r="S123" s="3"/>
      <c r="T123" s="3"/>
      <c r="U123" s="3"/>
      <c r="V123" s="3"/>
      <c r="W123" s="3"/>
      <c r="X123" s="3"/>
      <c r="Y123" s="3"/>
      <c r="Z123" s="3"/>
      <c r="AA123" s="3"/>
      <c r="AB123" s="3"/>
    </row>
    <row r="124">
      <c r="A124" s="20"/>
      <c r="B124" s="20"/>
      <c r="C124" s="20"/>
      <c r="D124" s="20"/>
      <c r="E124" s="20"/>
      <c r="F124" s="20"/>
      <c r="G124" s="20"/>
      <c r="H124" s="20"/>
      <c r="I124" s="20"/>
      <c r="J124" s="3"/>
      <c r="K124" s="3"/>
      <c r="L124" s="3"/>
      <c r="M124" s="3"/>
      <c r="N124" s="3"/>
      <c r="O124" s="3"/>
      <c r="P124" s="3"/>
      <c r="Q124" s="3"/>
      <c r="R124" s="3"/>
      <c r="S124" s="3"/>
      <c r="T124" s="3"/>
      <c r="U124" s="3"/>
      <c r="V124" s="3"/>
      <c r="W124" s="3"/>
      <c r="X124" s="3"/>
      <c r="Y124" s="3"/>
      <c r="Z124" s="3"/>
      <c r="AA124" s="3"/>
      <c r="AB124" s="3"/>
    </row>
    <row r="125">
      <c r="A125" s="20"/>
      <c r="B125" s="20"/>
      <c r="C125" s="20"/>
      <c r="D125" s="20"/>
      <c r="E125" s="20"/>
      <c r="F125" s="20"/>
      <c r="G125" s="20"/>
      <c r="H125" s="20"/>
      <c r="I125" s="20"/>
      <c r="J125" s="3"/>
      <c r="K125" s="3"/>
      <c r="L125" s="3"/>
      <c r="M125" s="3"/>
      <c r="N125" s="3"/>
      <c r="O125" s="3"/>
      <c r="P125" s="3"/>
      <c r="Q125" s="3"/>
      <c r="R125" s="3"/>
      <c r="S125" s="3"/>
      <c r="T125" s="3"/>
      <c r="U125" s="3"/>
      <c r="V125" s="3"/>
      <c r="W125" s="3"/>
      <c r="X125" s="3"/>
      <c r="Y125" s="3"/>
      <c r="Z125" s="3"/>
      <c r="AA125" s="3"/>
      <c r="AB125" s="3"/>
    </row>
    <row r="126">
      <c r="A126" s="20"/>
      <c r="B126" s="20"/>
      <c r="C126" s="20"/>
      <c r="D126" s="20"/>
      <c r="E126" s="20"/>
      <c r="F126" s="20"/>
      <c r="G126" s="20"/>
      <c r="H126" s="20"/>
      <c r="I126" s="20"/>
      <c r="J126" s="3"/>
      <c r="K126" s="3"/>
      <c r="L126" s="3"/>
      <c r="M126" s="3"/>
      <c r="N126" s="3"/>
      <c r="O126" s="3"/>
      <c r="P126" s="3"/>
      <c r="Q126" s="3"/>
      <c r="R126" s="3"/>
      <c r="S126" s="3"/>
      <c r="T126" s="3"/>
      <c r="U126" s="3"/>
      <c r="V126" s="3"/>
      <c r="W126" s="3"/>
      <c r="X126" s="3"/>
      <c r="Y126" s="3"/>
      <c r="Z126" s="3"/>
      <c r="AA126" s="3"/>
      <c r="AB126" s="3"/>
    </row>
    <row r="127">
      <c r="A127" s="20"/>
      <c r="B127" s="20"/>
      <c r="C127" s="20"/>
      <c r="D127" s="20"/>
      <c r="E127" s="20"/>
      <c r="F127" s="20"/>
      <c r="G127" s="20"/>
      <c r="H127" s="20"/>
      <c r="I127" s="20"/>
      <c r="J127" s="3"/>
      <c r="K127" s="3"/>
      <c r="L127" s="3"/>
      <c r="M127" s="3"/>
      <c r="N127" s="3"/>
      <c r="O127" s="3"/>
      <c r="P127" s="3"/>
      <c r="Q127" s="3"/>
      <c r="R127" s="3"/>
      <c r="S127" s="3"/>
      <c r="T127" s="3"/>
      <c r="U127" s="3"/>
      <c r="V127" s="3"/>
      <c r="W127" s="3"/>
      <c r="X127" s="3"/>
      <c r="Y127" s="3"/>
      <c r="Z127" s="3"/>
      <c r="AA127" s="3"/>
      <c r="AB127" s="3"/>
    </row>
    <row r="128">
      <c r="A128" s="20"/>
      <c r="B128" s="20"/>
      <c r="C128" s="20"/>
      <c r="D128" s="20"/>
      <c r="E128" s="20"/>
      <c r="F128" s="20"/>
      <c r="G128" s="20"/>
      <c r="H128" s="20"/>
      <c r="I128" s="20"/>
      <c r="J128" s="3"/>
      <c r="K128" s="3"/>
      <c r="L128" s="3"/>
      <c r="M128" s="3"/>
      <c r="N128" s="3"/>
      <c r="O128" s="3"/>
      <c r="P128" s="3"/>
      <c r="Q128" s="3"/>
      <c r="R128" s="3"/>
      <c r="S128" s="3"/>
      <c r="T128" s="3"/>
      <c r="U128" s="3"/>
      <c r="V128" s="3"/>
      <c r="W128" s="3"/>
      <c r="X128" s="3"/>
      <c r="Y128" s="3"/>
      <c r="Z128" s="3"/>
      <c r="AA128" s="3"/>
      <c r="AB128" s="3"/>
    </row>
    <row r="129">
      <c r="A129" s="20"/>
      <c r="B129" s="20"/>
      <c r="C129" s="20"/>
      <c r="D129" s="20"/>
      <c r="E129" s="20"/>
      <c r="F129" s="20"/>
      <c r="G129" s="20"/>
      <c r="H129" s="20"/>
      <c r="I129" s="20"/>
      <c r="J129" s="3"/>
      <c r="K129" s="3"/>
      <c r="L129" s="3"/>
      <c r="M129" s="3"/>
      <c r="N129" s="3"/>
      <c r="O129" s="3"/>
      <c r="P129" s="3"/>
      <c r="Q129" s="3"/>
      <c r="R129" s="3"/>
      <c r="S129" s="3"/>
      <c r="T129" s="3"/>
      <c r="U129" s="3"/>
      <c r="V129" s="3"/>
      <c r="W129" s="3"/>
      <c r="X129" s="3"/>
      <c r="Y129" s="3"/>
      <c r="Z129" s="3"/>
      <c r="AA129" s="3"/>
      <c r="AB129" s="3"/>
    </row>
    <row r="130">
      <c r="A130" s="20"/>
      <c r="B130" s="20"/>
      <c r="C130" s="20"/>
      <c r="D130" s="20"/>
      <c r="E130" s="20"/>
      <c r="F130" s="20"/>
      <c r="G130" s="20"/>
      <c r="H130" s="20"/>
      <c r="I130" s="20"/>
      <c r="J130" s="3"/>
      <c r="K130" s="3"/>
      <c r="L130" s="3"/>
      <c r="M130" s="3"/>
      <c r="N130" s="3"/>
      <c r="O130" s="3"/>
      <c r="P130" s="3"/>
      <c r="Q130" s="3"/>
      <c r="R130" s="3"/>
      <c r="S130" s="3"/>
      <c r="T130" s="3"/>
      <c r="U130" s="3"/>
      <c r="V130" s="3"/>
      <c r="W130" s="3"/>
      <c r="X130" s="3"/>
      <c r="Y130" s="3"/>
      <c r="Z130" s="3"/>
      <c r="AA130" s="3"/>
      <c r="AB130" s="3"/>
    </row>
    <row r="131">
      <c r="A131" s="20"/>
      <c r="B131" s="20"/>
      <c r="C131" s="20"/>
      <c r="D131" s="20"/>
      <c r="E131" s="20"/>
      <c r="F131" s="20"/>
      <c r="G131" s="20"/>
      <c r="H131" s="20"/>
      <c r="I131" s="20"/>
      <c r="J131" s="3"/>
      <c r="K131" s="3"/>
      <c r="L131" s="3"/>
      <c r="M131" s="3"/>
      <c r="N131" s="3"/>
      <c r="O131" s="3"/>
      <c r="P131" s="3"/>
      <c r="Q131" s="3"/>
      <c r="R131" s="3"/>
      <c r="S131" s="3"/>
      <c r="T131" s="3"/>
      <c r="U131" s="3"/>
      <c r="V131" s="3"/>
      <c r="W131" s="3"/>
      <c r="X131" s="3"/>
      <c r="Y131" s="3"/>
      <c r="Z131" s="3"/>
      <c r="AA131" s="3"/>
      <c r="AB131" s="3"/>
    </row>
    <row r="132">
      <c r="A132" s="20"/>
      <c r="B132" s="20"/>
      <c r="C132" s="20"/>
      <c r="D132" s="20"/>
      <c r="E132" s="20"/>
      <c r="F132" s="20"/>
      <c r="G132" s="20"/>
      <c r="H132" s="20"/>
      <c r="I132" s="20"/>
      <c r="J132" s="3"/>
      <c r="K132" s="3"/>
      <c r="L132" s="3"/>
      <c r="M132" s="3"/>
      <c r="N132" s="3"/>
      <c r="O132" s="3"/>
      <c r="P132" s="3"/>
      <c r="Q132" s="3"/>
      <c r="R132" s="3"/>
      <c r="S132" s="3"/>
      <c r="T132" s="3"/>
      <c r="U132" s="3"/>
      <c r="V132" s="3"/>
      <c r="W132" s="3"/>
      <c r="X132" s="3"/>
      <c r="Y132" s="3"/>
      <c r="Z132" s="3"/>
      <c r="AA132" s="3"/>
      <c r="AB132" s="3"/>
    </row>
    <row r="133">
      <c r="A133" s="20"/>
      <c r="B133" s="20"/>
      <c r="C133" s="20"/>
      <c r="D133" s="20"/>
      <c r="E133" s="20"/>
      <c r="F133" s="20"/>
      <c r="G133" s="20"/>
      <c r="H133" s="20"/>
      <c r="I133" s="20"/>
      <c r="J133" s="3"/>
      <c r="K133" s="3"/>
      <c r="L133" s="3"/>
      <c r="M133" s="3"/>
      <c r="N133" s="3"/>
      <c r="O133" s="3"/>
      <c r="P133" s="3"/>
      <c r="Q133" s="3"/>
      <c r="R133" s="3"/>
      <c r="S133" s="3"/>
      <c r="T133" s="3"/>
      <c r="U133" s="3"/>
      <c r="V133" s="3"/>
      <c r="W133" s="3"/>
      <c r="X133" s="3"/>
      <c r="Y133" s="3"/>
      <c r="Z133" s="3"/>
      <c r="AA133" s="3"/>
      <c r="AB133" s="3"/>
    </row>
    <row r="134">
      <c r="A134" s="20"/>
      <c r="B134" s="20"/>
      <c r="C134" s="20"/>
      <c r="D134" s="20"/>
      <c r="E134" s="20"/>
      <c r="F134" s="20"/>
      <c r="G134" s="20"/>
      <c r="H134" s="20"/>
      <c r="I134" s="20"/>
      <c r="J134" s="3"/>
      <c r="K134" s="3"/>
      <c r="L134" s="3"/>
      <c r="M134" s="3"/>
      <c r="N134" s="3"/>
      <c r="O134" s="3"/>
      <c r="P134" s="3"/>
      <c r="Q134" s="3"/>
      <c r="R134" s="3"/>
      <c r="S134" s="3"/>
      <c r="T134" s="3"/>
      <c r="U134" s="3"/>
      <c r="V134" s="3"/>
      <c r="W134" s="3"/>
      <c r="X134" s="3"/>
      <c r="Y134" s="3"/>
      <c r="Z134" s="3"/>
      <c r="AA134" s="3"/>
      <c r="AB134" s="3"/>
    </row>
    <row r="135">
      <c r="A135" s="20"/>
      <c r="B135" s="20"/>
      <c r="C135" s="20"/>
      <c r="D135" s="20"/>
      <c r="E135" s="20"/>
      <c r="F135" s="20"/>
      <c r="G135" s="20"/>
      <c r="H135" s="20"/>
      <c r="I135" s="20"/>
      <c r="J135" s="3"/>
      <c r="K135" s="3"/>
      <c r="L135" s="3"/>
      <c r="M135" s="3"/>
      <c r="N135" s="3"/>
      <c r="O135" s="3"/>
      <c r="P135" s="3"/>
      <c r="Q135" s="3"/>
      <c r="R135" s="3"/>
      <c r="S135" s="3"/>
      <c r="T135" s="3"/>
      <c r="U135" s="3"/>
      <c r="V135" s="3"/>
      <c r="W135" s="3"/>
      <c r="X135" s="3"/>
      <c r="Y135" s="3"/>
      <c r="Z135" s="3"/>
      <c r="AA135" s="3"/>
      <c r="AB135" s="3"/>
    </row>
    <row r="136">
      <c r="A136" s="20"/>
      <c r="B136" s="20"/>
      <c r="C136" s="20"/>
      <c r="D136" s="20"/>
      <c r="E136" s="20"/>
      <c r="F136" s="20"/>
      <c r="G136" s="20"/>
      <c r="H136" s="20"/>
      <c r="I136" s="20"/>
      <c r="J136" s="3"/>
      <c r="K136" s="3"/>
      <c r="L136" s="3"/>
      <c r="M136" s="3"/>
      <c r="N136" s="3"/>
      <c r="O136" s="3"/>
      <c r="P136" s="3"/>
      <c r="Q136" s="3"/>
      <c r="R136" s="3"/>
      <c r="S136" s="3"/>
      <c r="T136" s="3"/>
      <c r="U136" s="3"/>
      <c r="V136" s="3"/>
      <c r="W136" s="3"/>
      <c r="X136" s="3"/>
      <c r="Y136" s="3"/>
      <c r="Z136" s="3"/>
      <c r="AA136" s="3"/>
      <c r="AB136" s="3"/>
    </row>
    <row r="137">
      <c r="A137" s="20"/>
      <c r="B137" s="20"/>
      <c r="C137" s="20"/>
      <c r="D137" s="20"/>
      <c r="E137" s="20"/>
      <c r="F137" s="20"/>
      <c r="G137" s="20"/>
      <c r="H137" s="20"/>
      <c r="I137" s="20"/>
      <c r="J137" s="3"/>
      <c r="K137" s="3"/>
      <c r="L137" s="3"/>
      <c r="M137" s="3"/>
      <c r="N137" s="3"/>
      <c r="O137" s="3"/>
      <c r="P137" s="3"/>
      <c r="Q137" s="3"/>
      <c r="R137" s="3"/>
      <c r="S137" s="3"/>
      <c r="T137" s="3"/>
      <c r="U137" s="3"/>
      <c r="V137" s="3"/>
      <c r="W137" s="3"/>
      <c r="X137" s="3"/>
      <c r="Y137" s="3"/>
      <c r="Z137" s="3"/>
      <c r="AA137" s="3"/>
      <c r="AB137" s="3"/>
    </row>
    <row r="138">
      <c r="A138" s="20"/>
      <c r="B138" s="20"/>
      <c r="C138" s="20"/>
      <c r="D138" s="20"/>
      <c r="E138" s="20"/>
      <c r="F138" s="20"/>
      <c r="G138" s="20"/>
      <c r="H138" s="20"/>
      <c r="I138" s="20"/>
      <c r="J138" s="3"/>
      <c r="K138" s="3"/>
      <c r="L138" s="3"/>
      <c r="M138" s="3"/>
      <c r="N138" s="3"/>
      <c r="O138" s="3"/>
      <c r="P138" s="3"/>
      <c r="Q138" s="3"/>
      <c r="R138" s="3"/>
      <c r="S138" s="3"/>
      <c r="T138" s="3"/>
      <c r="U138" s="3"/>
      <c r="V138" s="3"/>
      <c r="W138" s="3"/>
      <c r="X138" s="3"/>
      <c r="Y138" s="3"/>
      <c r="Z138" s="3"/>
      <c r="AA138" s="3"/>
      <c r="AB138" s="3"/>
    </row>
    <row r="139">
      <c r="A139" s="20"/>
      <c r="B139" s="20"/>
      <c r="C139" s="20"/>
      <c r="D139" s="20"/>
      <c r="E139" s="20"/>
      <c r="F139" s="20"/>
      <c r="G139" s="20"/>
      <c r="H139" s="20"/>
      <c r="I139" s="20"/>
      <c r="J139" s="3"/>
      <c r="K139" s="3"/>
      <c r="L139" s="3"/>
      <c r="M139" s="3"/>
      <c r="N139" s="3"/>
      <c r="O139" s="3"/>
      <c r="P139" s="3"/>
      <c r="Q139" s="3"/>
      <c r="R139" s="3"/>
      <c r="S139" s="3"/>
      <c r="T139" s="3"/>
      <c r="U139" s="3"/>
      <c r="V139" s="3"/>
      <c r="W139" s="3"/>
      <c r="X139" s="3"/>
      <c r="Y139" s="3"/>
      <c r="Z139" s="3"/>
      <c r="AA139" s="3"/>
      <c r="AB139" s="3"/>
    </row>
    <row r="140">
      <c r="A140" s="20"/>
      <c r="B140" s="20"/>
      <c r="C140" s="20"/>
      <c r="D140" s="20"/>
      <c r="E140" s="20"/>
      <c r="F140" s="20"/>
      <c r="G140" s="20"/>
      <c r="H140" s="20"/>
      <c r="I140" s="20"/>
      <c r="J140" s="3"/>
      <c r="K140" s="3"/>
      <c r="L140" s="3"/>
      <c r="M140" s="3"/>
      <c r="N140" s="3"/>
      <c r="O140" s="3"/>
      <c r="P140" s="3"/>
      <c r="Q140" s="3"/>
      <c r="R140" s="3"/>
      <c r="S140" s="3"/>
      <c r="T140" s="3"/>
      <c r="U140" s="3"/>
      <c r="V140" s="3"/>
      <c r="W140" s="3"/>
      <c r="X140" s="3"/>
      <c r="Y140" s="3"/>
      <c r="Z140" s="3"/>
      <c r="AA140" s="3"/>
      <c r="AB140" s="3"/>
    </row>
    <row r="141">
      <c r="A141" s="20"/>
      <c r="B141" s="20"/>
      <c r="C141" s="20"/>
      <c r="D141" s="20"/>
      <c r="E141" s="20"/>
      <c r="F141" s="20"/>
      <c r="G141" s="20"/>
      <c r="H141" s="20"/>
      <c r="I141" s="20"/>
      <c r="J141" s="3"/>
      <c r="K141" s="3"/>
      <c r="L141" s="3"/>
      <c r="M141" s="3"/>
      <c r="N141" s="3"/>
      <c r="O141" s="3"/>
      <c r="P141" s="3"/>
      <c r="Q141" s="3"/>
      <c r="R141" s="3"/>
      <c r="S141" s="3"/>
      <c r="T141" s="3"/>
      <c r="U141" s="3"/>
      <c r="V141" s="3"/>
      <c r="W141" s="3"/>
      <c r="X141" s="3"/>
      <c r="Y141" s="3"/>
      <c r="Z141" s="3"/>
      <c r="AA141" s="3"/>
      <c r="AB141" s="3"/>
    </row>
    <row r="142">
      <c r="A142" s="20"/>
      <c r="B142" s="20"/>
      <c r="C142" s="20"/>
      <c r="D142" s="20"/>
      <c r="E142" s="20"/>
      <c r="F142" s="20"/>
      <c r="G142" s="20"/>
      <c r="H142" s="20"/>
      <c r="I142" s="20"/>
      <c r="J142" s="3"/>
      <c r="K142" s="3"/>
      <c r="L142" s="3"/>
      <c r="M142" s="3"/>
      <c r="N142" s="3"/>
      <c r="O142" s="3"/>
      <c r="P142" s="3"/>
      <c r="Q142" s="3"/>
      <c r="R142" s="3"/>
      <c r="S142" s="3"/>
      <c r="T142" s="3"/>
      <c r="U142" s="3"/>
      <c r="V142" s="3"/>
      <c r="W142" s="3"/>
      <c r="X142" s="3"/>
      <c r="Y142" s="3"/>
      <c r="Z142" s="3"/>
      <c r="AA142" s="3"/>
      <c r="AB142" s="3"/>
    </row>
  </sheetData>
  <mergeCells count="37">
    <mergeCell ref="B1:I1"/>
    <mergeCell ref="B2:I2"/>
    <mergeCell ref="B3:I3"/>
    <mergeCell ref="C4:E4"/>
    <mergeCell ref="F4:I4"/>
    <mergeCell ref="C5:E10"/>
    <mergeCell ref="F5:I10"/>
    <mergeCell ref="H21:H22"/>
    <mergeCell ref="I21:I22"/>
    <mergeCell ref="I23:I27"/>
    <mergeCell ref="I28:I31"/>
    <mergeCell ref="I45:I48"/>
    <mergeCell ref="B13:I13"/>
    <mergeCell ref="B14:B16"/>
    <mergeCell ref="B17:B18"/>
    <mergeCell ref="B19:B22"/>
    <mergeCell ref="A21:A22"/>
    <mergeCell ref="D21:D22"/>
    <mergeCell ref="E21:E22"/>
    <mergeCell ref="D34:D35"/>
    <mergeCell ref="E34:E35"/>
    <mergeCell ref="B36:B37"/>
    <mergeCell ref="B38:B40"/>
    <mergeCell ref="B41:B44"/>
    <mergeCell ref="B45:B48"/>
    <mergeCell ref="F34:F35"/>
    <mergeCell ref="G34:G35"/>
    <mergeCell ref="H34:H35"/>
    <mergeCell ref="I34:I35"/>
    <mergeCell ref="I38:I39"/>
    <mergeCell ref="F21:F22"/>
    <mergeCell ref="G21:G22"/>
    <mergeCell ref="B23:B27"/>
    <mergeCell ref="B28:B31"/>
    <mergeCell ref="B32:B35"/>
    <mergeCell ref="A34:A35"/>
    <mergeCell ref="C34:C35"/>
  </mergeCells>
  <dataValidations>
    <dataValidation type="list" allowBlank="1" showErrorMessage="1" sqref="G14:G21 G23:G34 G36:G142">
      <formula1>'FLC-ST'!$A$6:$A$8</formula1>
    </dataValidation>
    <dataValidation type="list" allowBlank="1" showErrorMessage="1" sqref="C14:C34 C36:C48">
      <formula1>"Positive,Negative,UI/UX"</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16.13"/>
    <col customWidth="1" min="3"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1273</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1274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COUNTA(D14:D44)</f>
        <v>31</v>
      </c>
      <c r="C4" s="6"/>
      <c r="D4" s="8" t="s">
        <v>10</v>
      </c>
      <c r="E4" s="10"/>
      <c r="F4" s="8" t="s">
        <v>3</v>
      </c>
      <c r="G4" s="9"/>
      <c r="H4" s="9"/>
      <c r="I4" s="10"/>
      <c r="J4" s="3"/>
      <c r="K4" s="3"/>
      <c r="L4" s="3"/>
      <c r="M4" s="3"/>
      <c r="N4" s="3"/>
      <c r="O4" s="3"/>
      <c r="P4" s="3"/>
      <c r="Q4" s="3"/>
      <c r="R4" s="3"/>
      <c r="S4" s="3"/>
      <c r="T4" s="3"/>
      <c r="U4" s="3"/>
      <c r="V4" s="3"/>
      <c r="W4" s="3"/>
      <c r="X4" s="3"/>
      <c r="Y4" s="3"/>
      <c r="Z4" s="3"/>
      <c r="AA4" s="3"/>
      <c r="AB4" s="3"/>
    </row>
    <row r="5">
      <c r="A5" s="6" t="s">
        <v>4</v>
      </c>
      <c r="B5" s="7">
        <f>COUNTIFS(D14:D44, "&lt;&gt;", G14:G44, "&lt;&gt;Pending")</f>
        <v>29</v>
      </c>
      <c r="C5" s="11" t="s">
        <v>1275</v>
      </c>
      <c r="D5" s="12"/>
      <c r="E5" s="13"/>
      <c r="F5" s="11" t="s">
        <v>1276</v>
      </c>
      <c r="G5" s="12"/>
      <c r="H5" s="12"/>
      <c r="I5" s="13"/>
      <c r="J5" s="3"/>
      <c r="K5" s="3"/>
      <c r="L5" s="3"/>
      <c r="M5" s="3"/>
      <c r="N5" s="3"/>
      <c r="O5" s="3"/>
      <c r="P5" s="3"/>
      <c r="Q5" s="3"/>
      <c r="R5" s="3"/>
      <c r="S5" s="3"/>
      <c r="T5" s="3"/>
      <c r="U5" s="3"/>
      <c r="V5" s="3"/>
      <c r="W5" s="3"/>
      <c r="X5" s="3"/>
      <c r="Y5" s="3"/>
      <c r="Z5" s="3"/>
      <c r="AA5" s="3"/>
      <c r="AB5" s="3"/>
    </row>
    <row r="6">
      <c r="A6" s="6" t="s">
        <v>6</v>
      </c>
      <c r="B6" s="7">
        <f>B4-B5</f>
        <v>2</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COUNTIF($G$14:$G44,A7)</f>
        <v>25</v>
      </c>
      <c r="C7" s="14"/>
      <c r="E7" s="15"/>
      <c r="F7" s="14"/>
      <c r="I7" s="15"/>
      <c r="J7" s="3"/>
      <c r="K7" s="3"/>
      <c r="L7" s="3"/>
      <c r="M7" s="3"/>
      <c r="N7" s="3"/>
      <c r="O7" s="3"/>
      <c r="P7" s="3"/>
      <c r="Q7" s="3"/>
      <c r="R7" s="3"/>
      <c r="S7" s="3"/>
      <c r="T7" s="3"/>
      <c r="U7" s="3"/>
      <c r="V7" s="3"/>
      <c r="W7" s="3"/>
      <c r="X7" s="3"/>
      <c r="Y7" s="3"/>
      <c r="Z7" s="3"/>
      <c r="AA7" s="3"/>
      <c r="AB7" s="3"/>
    </row>
    <row r="8">
      <c r="A8" s="6" t="s">
        <v>8</v>
      </c>
      <c r="B8" s="7">
        <f t="shared" si="1"/>
        <v>4</v>
      </c>
      <c r="C8" s="14"/>
      <c r="E8" s="15"/>
      <c r="F8" s="14"/>
      <c r="I8" s="15"/>
      <c r="J8" s="3"/>
      <c r="K8" s="3"/>
      <c r="L8" s="3"/>
      <c r="M8" s="3"/>
      <c r="N8" s="3"/>
      <c r="O8" s="3"/>
      <c r="P8" s="3"/>
      <c r="Q8" s="3"/>
      <c r="R8" s="3"/>
      <c r="S8" s="3"/>
      <c r="T8" s="3"/>
      <c r="U8" s="3"/>
      <c r="V8" s="3"/>
      <c r="W8" s="3"/>
      <c r="X8" s="3"/>
      <c r="Y8" s="3"/>
      <c r="Z8" s="3"/>
      <c r="AA8" s="3"/>
      <c r="AB8" s="3"/>
    </row>
    <row r="9">
      <c r="A9" s="6" t="s">
        <v>184</v>
      </c>
      <c r="B9" s="23">
        <f>B7/B4</f>
        <v>0.8064516129</v>
      </c>
      <c r="C9" s="14"/>
      <c r="E9" s="15"/>
      <c r="F9" s="14"/>
      <c r="I9" s="15"/>
      <c r="J9" s="3"/>
      <c r="K9" s="3"/>
      <c r="L9" s="3"/>
      <c r="M9" s="3"/>
      <c r="N9" s="3"/>
      <c r="O9" s="3"/>
      <c r="P9" s="3"/>
      <c r="Q9" s="3"/>
      <c r="R9" s="3"/>
      <c r="S9" s="3"/>
      <c r="T9" s="3"/>
      <c r="U9" s="3"/>
      <c r="V9" s="3"/>
      <c r="W9" s="3"/>
      <c r="X9" s="3"/>
      <c r="Y9" s="3"/>
      <c r="Z9" s="3"/>
      <c r="AA9" s="3"/>
      <c r="AB9" s="3"/>
    </row>
    <row r="10">
      <c r="A10" s="6" t="s">
        <v>9</v>
      </c>
      <c r="B10" s="7">
        <f>SUM(H14:H44)</f>
        <v>4</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34</v>
      </c>
      <c r="B13" s="47" t="s">
        <v>1277</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1278</v>
      </c>
      <c r="B14" s="55" t="s">
        <v>1279</v>
      </c>
      <c r="C14" s="19" t="s">
        <v>195</v>
      </c>
      <c r="D14" s="19" t="s">
        <v>1280</v>
      </c>
      <c r="E14" s="19" t="s">
        <v>1281</v>
      </c>
      <c r="F14" s="19" t="s">
        <v>558</v>
      </c>
      <c r="G14" s="19" t="s">
        <v>7</v>
      </c>
      <c r="H14" s="19"/>
      <c r="I14" s="20"/>
      <c r="J14" s="3"/>
      <c r="K14" s="3"/>
      <c r="L14" s="3"/>
      <c r="M14" s="3"/>
      <c r="N14" s="3"/>
      <c r="O14" s="3"/>
      <c r="P14" s="3"/>
      <c r="Q14" s="3"/>
      <c r="R14" s="3"/>
      <c r="S14" s="3"/>
      <c r="T14" s="3"/>
      <c r="U14" s="3"/>
      <c r="V14" s="3"/>
      <c r="W14" s="3"/>
      <c r="X14" s="3"/>
      <c r="Y14" s="3"/>
      <c r="Z14" s="3"/>
      <c r="AA14" s="3"/>
      <c r="AB14" s="3"/>
    </row>
    <row r="15">
      <c r="A15" s="19" t="s">
        <v>1282</v>
      </c>
      <c r="B15" s="56"/>
      <c r="C15" s="19" t="s">
        <v>201</v>
      </c>
      <c r="D15" s="19" t="s">
        <v>1283</v>
      </c>
      <c r="E15" s="19" t="s">
        <v>1284</v>
      </c>
      <c r="F15" s="19" t="s">
        <v>558</v>
      </c>
      <c r="G15" s="19" t="s">
        <v>7</v>
      </c>
      <c r="H15" s="20"/>
      <c r="I15" s="20"/>
      <c r="J15" s="3"/>
      <c r="K15" s="3"/>
      <c r="L15" s="3"/>
      <c r="M15" s="3"/>
      <c r="N15" s="3"/>
      <c r="O15" s="3"/>
      <c r="P15" s="3"/>
      <c r="Q15" s="3"/>
      <c r="R15" s="3"/>
      <c r="S15" s="3"/>
      <c r="T15" s="3"/>
      <c r="U15" s="3"/>
      <c r="V15" s="3"/>
      <c r="W15" s="3"/>
      <c r="X15" s="3"/>
      <c r="Y15" s="3"/>
      <c r="Z15" s="3"/>
      <c r="AA15" s="3"/>
      <c r="AB15" s="3"/>
    </row>
    <row r="16">
      <c r="A16" s="19" t="s">
        <v>1285</v>
      </c>
      <c r="B16" s="56"/>
      <c r="C16" s="19" t="s">
        <v>201</v>
      </c>
      <c r="D16" s="19" t="s">
        <v>1286</v>
      </c>
      <c r="E16" s="19" t="s">
        <v>1287</v>
      </c>
      <c r="F16" s="19" t="s">
        <v>558</v>
      </c>
      <c r="G16" s="19" t="s">
        <v>6</v>
      </c>
      <c r="H16" s="20"/>
      <c r="I16" s="20"/>
      <c r="J16" s="3"/>
      <c r="K16" s="3"/>
      <c r="L16" s="3"/>
      <c r="M16" s="3"/>
      <c r="N16" s="3"/>
      <c r="O16" s="3"/>
      <c r="P16" s="3"/>
      <c r="Q16" s="3"/>
      <c r="R16" s="3"/>
      <c r="S16" s="3"/>
      <c r="T16" s="3"/>
      <c r="U16" s="3"/>
      <c r="V16" s="3"/>
      <c r="W16" s="3"/>
      <c r="X16" s="3"/>
      <c r="Y16" s="3"/>
      <c r="Z16" s="3"/>
      <c r="AA16" s="3"/>
      <c r="AB16" s="3"/>
    </row>
    <row r="17">
      <c r="A17" s="19" t="s">
        <v>1288</v>
      </c>
      <c r="B17" s="57"/>
      <c r="C17" s="19" t="s">
        <v>201</v>
      </c>
      <c r="D17" s="19" t="s">
        <v>1289</v>
      </c>
      <c r="E17" s="19" t="s">
        <v>1290</v>
      </c>
      <c r="F17" s="19" t="s">
        <v>558</v>
      </c>
      <c r="G17" s="19" t="s">
        <v>8</v>
      </c>
      <c r="H17" s="19">
        <v>1.0</v>
      </c>
      <c r="I17" s="19" t="s">
        <v>1291</v>
      </c>
      <c r="J17" s="3"/>
      <c r="K17" s="3"/>
      <c r="L17" s="3"/>
      <c r="M17" s="3"/>
      <c r="N17" s="3"/>
      <c r="O17" s="3"/>
      <c r="P17" s="3"/>
      <c r="Q17" s="3"/>
      <c r="R17" s="3"/>
      <c r="S17" s="3"/>
      <c r="T17" s="3"/>
      <c r="U17" s="3"/>
      <c r="V17" s="3"/>
      <c r="W17" s="3"/>
      <c r="X17" s="3"/>
      <c r="Y17" s="3"/>
      <c r="Z17" s="3"/>
      <c r="AA17" s="3"/>
      <c r="AB17" s="3"/>
    </row>
    <row r="18">
      <c r="A18" s="19" t="s">
        <v>1292</v>
      </c>
      <c r="B18" s="55" t="s">
        <v>1293</v>
      </c>
      <c r="C18" s="19" t="s">
        <v>195</v>
      </c>
      <c r="D18" s="19" t="s">
        <v>1294</v>
      </c>
      <c r="E18" s="19" t="s">
        <v>1295</v>
      </c>
      <c r="F18" s="19" t="s">
        <v>1296</v>
      </c>
      <c r="G18" s="19" t="s">
        <v>7</v>
      </c>
      <c r="H18" s="20"/>
      <c r="I18" s="20"/>
      <c r="J18" s="3"/>
      <c r="K18" s="3"/>
      <c r="L18" s="3"/>
      <c r="M18" s="3"/>
      <c r="N18" s="3"/>
      <c r="O18" s="3"/>
      <c r="P18" s="3"/>
      <c r="Q18" s="3"/>
      <c r="R18" s="3"/>
      <c r="S18" s="3"/>
      <c r="T18" s="3"/>
      <c r="U18" s="3"/>
      <c r="V18" s="3"/>
      <c r="W18" s="3"/>
      <c r="X18" s="3"/>
      <c r="Y18" s="3"/>
      <c r="Z18" s="3"/>
      <c r="AA18" s="3"/>
      <c r="AB18" s="3"/>
    </row>
    <row r="19">
      <c r="A19" s="19" t="s">
        <v>1297</v>
      </c>
      <c r="B19" s="56"/>
      <c r="C19" s="19" t="s">
        <v>195</v>
      </c>
      <c r="D19" s="19" t="s">
        <v>1298</v>
      </c>
      <c r="E19" s="19" t="s">
        <v>1299</v>
      </c>
      <c r="F19" s="19" t="s">
        <v>1300</v>
      </c>
      <c r="G19" s="19" t="s">
        <v>7</v>
      </c>
      <c r="H19" s="20"/>
      <c r="I19" s="20"/>
      <c r="J19" s="3"/>
      <c r="K19" s="3"/>
      <c r="L19" s="3"/>
      <c r="M19" s="3"/>
      <c r="N19" s="3"/>
      <c r="O19" s="3"/>
      <c r="P19" s="3"/>
      <c r="Q19" s="3"/>
      <c r="R19" s="3"/>
      <c r="S19" s="3"/>
      <c r="T19" s="3"/>
      <c r="U19" s="3"/>
      <c r="V19" s="3"/>
      <c r="W19" s="3"/>
      <c r="X19" s="3"/>
      <c r="Y19" s="3"/>
      <c r="Z19" s="3"/>
      <c r="AA19" s="3"/>
      <c r="AB19" s="3"/>
    </row>
    <row r="20">
      <c r="A20" s="19" t="s">
        <v>1301</v>
      </c>
      <c r="B20" s="57"/>
      <c r="C20" s="19" t="s">
        <v>201</v>
      </c>
      <c r="D20" s="19" t="s">
        <v>1302</v>
      </c>
      <c r="E20" s="19" t="s">
        <v>1303</v>
      </c>
      <c r="F20" s="19" t="s">
        <v>1296</v>
      </c>
      <c r="G20" s="19" t="s">
        <v>8</v>
      </c>
      <c r="H20" s="19">
        <v>1.0</v>
      </c>
      <c r="I20" s="19" t="s">
        <v>1304</v>
      </c>
      <c r="J20" s="3"/>
      <c r="K20" s="3"/>
      <c r="L20" s="3"/>
      <c r="M20" s="3"/>
      <c r="N20" s="3"/>
      <c r="O20" s="3"/>
      <c r="P20" s="3"/>
      <c r="Q20" s="3"/>
      <c r="R20" s="3"/>
      <c r="S20" s="3"/>
      <c r="T20" s="3"/>
      <c r="U20" s="3"/>
      <c r="V20" s="3"/>
      <c r="W20" s="3"/>
      <c r="X20" s="3"/>
      <c r="Y20" s="3"/>
      <c r="Z20" s="3"/>
      <c r="AA20" s="3"/>
      <c r="AB20" s="3"/>
    </row>
    <row r="21">
      <c r="A21" s="19" t="s">
        <v>1305</v>
      </c>
      <c r="B21" s="55" t="s">
        <v>1306</v>
      </c>
      <c r="C21" s="19" t="s">
        <v>195</v>
      </c>
      <c r="D21" s="19" t="s">
        <v>1307</v>
      </c>
      <c r="E21" s="19" t="s">
        <v>1308</v>
      </c>
      <c r="F21" s="19" t="s">
        <v>1309</v>
      </c>
      <c r="G21" s="19" t="s">
        <v>7</v>
      </c>
      <c r="H21" s="20"/>
      <c r="I21" s="20"/>
      <c r="J21" s="3"/>
      <c r="K21" s="3"/>
      <c r="L21" s="3"/>
      <c r="M21" s="3"/>
      <c r="N21" s="3"/>
      <c r="O21" s="3"/>
      <c r="P21" s="3"/>
      <c r="Q21" s="3"/>
      <c r="R21" s="3"/>
      <c r="S21" s="3"/>
      <c r="T21" s="3"/>
      <c r="U21" s="3"/>
      <c r="V21" s="3"/>
      <c r="W21" s="3"/>
      <c r="X21" s="3"/>
      <c r="Y21" s="3"/>
      <c r="Z21" s="3"/>
      <c r="AA21" s="3"/>
      <c r="AB21" s="3"/>
    </row>
    <row r="22">
      <c r="A22" s="19" t="s">
        <v>1310</v>
      </c>
      <c r="B22" s="57"/>
      <c r="C22" s="19" t="s">
        <v>195</v>
      </c>
      <c r="D22" s="19" t="s">
        <v>1311</v>
      </c>
      <c r="E22" s="19" t="s">
        <v>1312</v>
      </c>
      <c r="F22" s="19" t="s">
        <v>1313</v>
      </c>
      <c r="G22" s="19" t="s">
        <v>7</v>
      </c>
      <c r="H22" s="20"/>
      <c r="I22" s="20"/>
      <c r="J22" s="3"/>
      <c r="K22" s="3"/>
      <c r="L22" s="3"/>
      <c r="M22" s="3"/>
      <c r="N22" s="3"/>
      <c r="O22" s="3"/>
      <c r="P22" s="3"/>
      <c r="Q22" s="3"/>
      <c r="R22" s="3"/>
      <c r="S22" s="3"/>
      <c r="T22" s="3"/>
      <c r="U22" s="3"/>
      <c r="V22" s="3"/>
      <c r="W22" s="3"/>
      <c r="X22" s="3"/>
      <c r="Y22" s="3"/>
      <c r="Z22" s="3"/>
      <c r="AA22" s="3"/>
      <c r="AB22" s="3"/>
    </row>
    <row r="23">
      <c r="A23" s="19" t="s">
        <v>1314</v>
      </c>
      <c r="B23" s="55" t="s">
        <v>1315</v>
      </c>
      <c r="C23" s="19" t="s">
        <v>195</v>
      </c>
      <c r="D23" s="19" t="s">
        <v>1316</v>
      </c>
      <c r="E23" s="19" t="s">
        <v>1317</v>
      </c>
      <c r="F23" s="19" t="s">
        <v>1318</v>
      </c>
      <c r="G23" s="19" t="s">
        <v>7</v>
      </c>
      <c r="H23" s="20"/>
      <c r="I23" s="19"/>
      <c r="J23" s="3"/>
      <c r="K23" s="3"/>
      <c r="L23" s="3"/>
      <c r="M23" s="3"/>
      <c r="N23" s="3"/>
      <c r="O23" s="3"/>
      <c r="P23" s="3"/>
      <c r="Q23" s="3"/>
      <c r="R23" s="3"/>
      <c r="S23" s="3"/>
      <c r="T23" s="3"/>
      <c r="U23" s="3"/>
      <c r="V23" s="3"/>
      <c r="W23" s="3"/>
      <c r="X23" s="3"/>
      <c r="Y23" s="3"/>
      <c r="Z23" s="3"/>
      <c r="AA23" s="3"/>
      <c r="AB23" s="3"/>
    </row>
    <row r="24">
      <c r="A24" s="19" t="s">
        <v>1319</v>
      </c>
      <c r="B24" s="57"/>
      <c r="C24" s="19" t="s">
        <v>195</v>
      </c>
      <c r="D24" s="19" t="s">
        <v>1320</v>
      </c>
      <c r="E24" s="19" t="s">
        <v>1321</v>
      </c>
      <c r="F24" s="19" t="s">
        <v>1309</v>
      </c>
      <c r="G24" s="19" t="s">
        <v>7</v>
      </c>
      <c r="H24" s="20"/>
      <c r="I24" s="20"/>
      <c r="J24" s="3"/>
      <c r="K24" s="3"/>
      <c r="L24" s="3"/>
      <c r="M24" s="3"/>
      <c r="N24" s="3"/>
      <c r="O24" s="3"/>
      <c r="P24" s="3"/>
      <c r="Q24" s="3"/>
      <c r="R24" s="3"/>
      <c r="S24" s="3"/>
      <c r="T24" s="3"/>
      <c r="U24" s="3"/>
      <c r="V24" s="3"/>
      <c r="W24" s="3"/>
      <c r="X24" s="3"/>
      <c r="Y24" s="3"/>
      <c r="Z24" s="3"/>
      <c r="AA24" s="3"/>
      <c r="AB24" s="3"/>
    </row>
    <row r="25">
      <c r="A25" s="19" t="s">
        <v>1322</v>
      </c>
      <c r="B25" s="19" t="s">
        <v>1323</v>
      </c>
      <c r="C25" s="19" t="s">
        <v>195</v>
      </c>
      <c r="D25" s="19" t="s">
        <v>1324</v>
      </c>
      <c r="E25" s="19" t="s">
        <v>1325</v>
      </c>
      <c r="F25" s="19" t="s">
        <v>1326</v>
      </c>
      <c r="G25" s="19" t="s">
        <v>8</v>
      </c>
      <c r="H25" s="19">
        <v>1.0</v>
      </c>
      <c r="I25" s="19" t="s">
        <v>1327</v>
      </c>
      <c r="J25" s="3"/>
      <c r="K25" s="3"/>
      <c r="L25" s="3"/>
      <c r="M25" s="3"/>
      <c r="N25" s="3"/>
      <c r="O25" s="3"/>
      <c r="P25" s="3"/>
      <c r="Q25" s="3"/>
      <c r="R25" s="3"/>
      <c r="S25" s="3"/>
      <c r="T25" s="3"/>
      <c r="U25" s="3"/>
      <c r="V25" s="3"/>
      <c r="W25" s="3"/>
      <c r="X25" s="3"/>
      <c r="Y25" s="3"/>
      <c r="Z25" s="3"/>
      <c r="AA25" s="3"/>
      <c r="AB25" s="3"/>
    </row>
    <row r="26">
      <c r="A26" s="19" t="s">
        <v>1328</v>
      </c>
      <c r="B26" s="19" t="s">
        <v>1329</v>
      </c>
      <c r="C26" s="19" t="s">
        <v>201</v>
      </c>
      <c r="D26" s="19" t="s">
        <v>1330</v>
      </c>
      <c r="E26" s="19" t="s">
        <v>1331</v>
      </c>
      <c r="F26" s="19" t="s">
        <v>1332</v>
      </c>
      <c r="G26" s="19" t="s">
        <v>7</v>
      </c>
      <c r="H26" s="20"/>
      <c r="I26" s="19"/>
      <c r="J26" s="3"/>
      <c r="K26" s="3"/>
      <c r="L26" s="3"/>
      <c r="M26" s="3"/>
      <c r="N26" s="3"/>
      <c r="O26" s="3"/>
      <c r="P26" s="3"/>
      <c r="Q26" s="3"/>
      <c r="R26" s="3"/>
      <c r="S26" s="3"/>
      <c r="T26" s="3"/>
      <c r="U26" s="3"/>
      <c r="V26" s="3"/>
      <c r="W26" s="3"/>
      <c r="X26" s="3"/>
      <c r="Y26" s="3"/>
      <c r="Z26" s="3"/>
      <c r="AA26" s="3"/>
      <c r="AB26" s="3"/>
    </row>
    <row r="27">
      <c r="A27" s="19" t="s">
        <v>1333</v>
      </c>
      <c r="B27" s="55" t="s">
        <v>1334</v>
      </c>
      <c r="C27" s="19" t="s">
        <v>201</v>
      </c>
      <c r="D27" s="19" t="s">
        <v>1335</v>
      </c>
      <c r="E27" s="19" t="s">
        <v>1336</v>
      </c>
      <c r="F27" s="19" t="s">
        <v>1337</v>
      </c>
      <c r="G27" s="19" t="s">
        <v>7</v>
      </c>
      <c r="H27" s="20"/>
      <c r="I27" s="20"/>
      <c r="J27" s="3"/>
      <c r="K27" s="3"/>
      <c r="L27" s="3"/>
      <c r="M27" s="3"/>
      <c r="N27" s="3"/>
      <c r="O27" s="3"/>
      <c r="P27" s="3"/>
      <c r="Q27" s="3"/>
      <c r="R27" s="3"/>
      <c r="S27" s="3"/>
      <c r="T27" s="3"/>
      <c r="U27" s="3"/>
      <c r="V27" s="3"/>
      <c r="W27" s="3"/>
      <c r="X27" s="3"/>
      <c r="Y27" s="3"/>
      <c r="Z27" s="3"/>
      <c r="AA27" s="3"/>
      <c r="AB27" s="3"/>
    </row>
    <row r="28">
      <c r="A28" s="19" t="s">
        <v>1338</v>
      </c>
      <c r="B28" s="57"/>
      <c r="C28" s="19" t="s">
        <v>201</v>
      </c>
      <c r="D28" s="19" t="s">
        <v>1339</v>
      </c>
      <c r="E28" s="19" t="s">
        <v>1340</v>
      </c>
      <c r="F28" s="19" t="s">
        <v>1341</v>
      </c>
      <c r="G28" s="19" t="s">
        <v>7</v>
      </c>
      <c r="H28" s="20"/>
      <c r="I28" s="20"/>
      <c r="J28" s="3"/>
      <c r="K28" s="3"/>
      <c r="L28" s="3"/>
      <c r="M28" s="3"/>
      <c r="N28" s="3"/>
      <c r="O28" s="3"/>
      <c r="P28" s="3"/>
      <c r="Q28" s="3"/>
      <c r="R28" s="3"/>
      <c r="S28" s="3"/>
      <c r="T28" s="3"/>
      <c r="U28" s="3"/>
      <c r="V28" s="3"/>
      <c r="W28" s="3"/>
      <c r="X28" s="3"/>
      <c r="Y28" s="3"/>
      <c r="Z28" s="3"/>
      <c r="AA28" s="3"/>
      <c r="AB28" s="3"/>
    </row>
    <row r="29">
      <c r="A29" s="19" t="s">
        <v>1342</v>
      </c>
      <c r="B29" s="55" t="s">
        <v>1343</v>
      </c>
      <c r="C29" s="19" t="s">
        <v>201</v>
      </c>
      <c r="D29" s="19" t="s">
        <v>1344</v>
      </c>
      <c r="E29" s="19" t="s">
        <v>1345</v>
      </c>
      <c r="F29" s="19" t="s">
        <v>1346</v>
      </c>
      <c r="G29" s="19" t="s">
        <v>7</v>
      </c>
      <c r="H29" s="20"/>
      <c r="I29" s="19" t="s">
        <v>1347</v>
      </c>
      <c r="J29" s="3"/>
      <c r="K29" s="3"/>
      <c r="L29" s="3"/>
      <c r="M29" s="3"/>
      <c r="N29" s="3"/>
      <c r="O29" s="3"/>
      <c r="P29" s="3"/>
      <c r="Q29" s="3"/>
      <c r="R29" s="3"/>
      <c r="S29" s="3"/>
      <c r="T29" s="3"/>
      <c r="U29" s="3"/>
      <c r="V29" s="3"/>
      <c r="W29" s="3"/>
      <c r="X29" s="3"/>
      <c r="Y29" s="3"/>
      <c r="Z29" s="3"/>
      <c r="AA29" s="3"/>
      <c r="AB29" s="3"/>
    </row>
    <row r="30">
      <c r="A30" s="19" t="s">
        <v>1348</v>
      </c>
      <c r="B30" s="57"/>
      <c r="C30" s="19" t="s">
        <v>201</v>
      </c>
      <c r="D30" s="19" t="s">
        <v>1349</v>
      </c>
      <c r="E30" s="19" t="s">
        <v>1350</v>
      </c>
      <c r="F30" s="19" t="s">
        <v>1318</v>
      </c>
      <c r="G30" s="19" t="s">
        <v>8</v>
      </c>
      <c r="H30" s="19">
        <v>1.0</v>
      </c>
      <c r="I30" s="19" t="s">
        <v>1351</v>
      </c>
      <c r="J30" s="3"/>
      <c r="K30" s="3"/>
      <c r="L30" s="3"/>
      <c r="M30" s="3"/>
      <c r="N30" s="3"/>
      <c r="O30" s="3"/>
      <c r="P30" s="3"/>
      <c r="Q30" s="3"/>
      <c r="R30" s="3"/>
      <c r="S30" s="3"/>
      <c r="T30" s="3"/>
      <c r="U30" s="3"/>
      <c r="V30" s="3"/>
      <c r="W30" s="3"/>
      <c r="X30" s="3"/>
      <c r="Y30" s="3"/>
      <c r="Z30" s="3"/>
      <c r="AA30" s="3"/>
      <c r="AB30" s="3"/>
    </row>
    <row r="31">
      <c r="A31" s="19" t="s">
        <v>1352</v>
      </c>
      <c r="B31" s="19" t="s">
        <v>1353</v>
      </c>
      <c r="C31" s="19" t="s">
        <v>195</v>
      </c>
      <c r="D31" s="19" t="s">
        <v>1354</v>
      </c>
      <c r="E31" s="19" t="s">
        <v>1355</v>
      </c>
      <c r="F31" s="19" t="s">
        <v>1356</v>
      </c>
      <c r="G31" s="19" t="s">
        <v>7</v>
      </c>
      <c r="H31" s="20"/>
      <c r="I31" s="20"/>
      <c r="J31" s="3"/>
      <c r="K31" s="3"/>
      <c r="L31" s="3"/>
      <c r="M31" s="3"/>
      <c r="N31" s="3"/>
      <c r="O31" s="3"/>
      <c r="P31" s="3"/>
      <c r="Q31" s="3"/>
      <c r="R31" s="3"/>
      <c r="S31" s="3"/>
      <c r="T31" s="3"/>
      <c r="U31" s="3"/>
      <c r="V31" s="3"/>
      <c r="W31" s="3"/>
      <c r="X31" s="3"/>
      <c r="Y31" s="3"/>
      <c r="Z31" s="3"/>
      <c r="AA31" s="3"/>
      <c r="AB31" s="3"/>
    </row>
    <row r="32">
      <c r="A32" s="19" t="s">
        <v>1357</v>
      </c>
      <c r="B32" s="55" t="s">
        <v>1358</v>
      </c>
      <c r="C32" s="19" t="s">
        <v>195</v>
      </c>
      <c r="D32" s="19" t="s">
        <v>1359</v>
      </c>
      <c r="E32" s="19" t="s">
        <v>1360</v>
      </c>
      <c r="F32" s="19" t="s">
        <v>1361</v>
      </c>
      <c r="G32" s="19" t="s">
        <v>7</v>
      </c>
      <c r="H32" s="20"/>
      <c r="I32" s="20"/>
      <c r="J32" s="3"/>
      <c r="K32" s="3"/>
      <c r="L32" s="3"/>
      <c r="M32" s="3"/>
      <c r="N32" s="3"/>
      <c r="O32" s="3"/>
      <c r="P32" s="3"/>
      <c r="Q32" s="3"/>
      <c r="R32" s="3"/>
      <c r="S32" s="3"/>
      <c r="T32" s="3"/>
      <c r="U32" s="3"/>
      <c r="V32" s="3"/>
      <c r="W32" s="3"/>
      <c r="X32" s="3"/>
      <c r="Y32" s="3"/>
      <c r="Z32" s="3"/>
      <c r="AA32" s="3"/>
      <c r="AB32" s="3"/>
    </row>
    <row r="33">
      <c r="A33" s="19" t="s">
        <v>1362</v>
      </c>
      <c r="B33" s="57"/>
      <c r="C33" s="19" t="s">
        <v>195</v>
      </c>
      <c r="D33" s="19" t="s">
        <v>1363</v>
      </c>
      <c r="E33" s="19" t="s">
        <v>1364</v>
      </c>
      <c r="F33" s="19" t="s">
        <v>1361</v>
      </c>
      <c r="G33" s="19" t="s">
        <v>7</v>
      </c>
      <c r="H33" s="20"/>
      <c r="I33" s="20"/>
      <c r="J33" s="3"/>
      <c r="K33" s="3"/>
      <c r="L33" s="3"/>
      <c r="M33" s="3"/>
      <c r="N33" s="3"/>
      <c r="O33" s="3"/>
      <c r="P33" s="3"/>
      <c r="Q33" s="3"/>
      <c r="R33" s="3"/>
      <c r="S33" s="3"/>
      <c r="T33" s="3"/>
      <c r="U33" s="3"/>
      <c r="V33" s="3"/>
      <c r="W33" s="3"/>
      <c r="X33" s="3"/>
      <c r="Y33" s="3"/>
      <c r="Z33" s="3"/>
      <c r="AA33" s="3"/>
      <c r="AB33" s="3"/>
    </row>
    <row r="34">
      <c r="A34" s="19" t="s">
        <v>1365</v>
      </c>
      <c r="B34" s="55" t="s">
        <v>1366</v>
      </c>
      <c r="C34" s="19" t="s">
        <v>195</v>
      </c>
      <c r="D34" s="19" t="s">
        <v>1367</v>
      </c>
      <c r="E34" s="19" t="s">
        <v>1368</v>
      </c>
      <c r="F34" s="19" t="s">
        <v>1369</v>
      </c>
      <c r="G34" s="19" t="s">
        <v>7</v>
      </c>
      <c r="H34" s="20"/>
      <c r="I34" s="20"/>
      <c r="J34" s="3"/>
      <c r="K34" s="3"/>
      <c r="L34" s="3"/>
      <c r="M34" s="3"/>
      <c r="N34" s="3"/>
      <c r="O34" s="3"/>
      <c r="P34" s="3"/>
      <c r="Q34" s="3"/>
      <c r="R34" s="3"/>
      <c r="S34" s="3"/>
      <c r="T34" s="3"/>
      <c r="U34" s="3"/>
      <c r="V34" s="3"/>
      <c r="W34" s="3"/>
      <c r="X34" s="3"/>
      <c r="Y34" s="3"/>
      <c r="Z34" s="3"/>
      <c r="AA34" s="3"/>
      <c r="AB34" s="3"/>
    </row>
    <row r="35">
      <c r="A35" s="19" t="s">
        <v>1370</v>
      </c>
      <c r="B35" s="57"/>
      <c r="C35" s="19" t="s">
        <v>195</v>
      </c>
      <c r="D35" s="19" t="s">
        <v>1371</v>
      </c>
      <c r="E35" s="19" t="s">
        <v>1372</v>
      </c>
      <c r="F35" s="19" t="s">
        <v>1373</v>
      </c>
      <c r="G35" s="19" t="s">
        <v>7</v>
      </c>
      <c r="H35" s="20"/>
      <c r="I35" s="20"/>
      <c r="J35" s="3"/>
      <c r="K35" s="3"/>
      <c r="L35" s="3"/>
      <c r="M35" s="3"/>
      <c r="N35" s="3"/>
      <c r="O35" s="3"/>
      <c r="P35" s="3"/>
      <c r="Q35" s="3"/>
      <c r="R35" s="3"/>
      <c r="S35" s="3"/>
      <c r="T35" s="3"/>
      <c r="U35" s="3"/>
      <c r="V35" s="3"/>
      <c r="W35" s="3"/>
      <c r="X35" s="3"/>
      <c r="Y35" s="3"/>
      <c r="Z35" s="3"/>
      <c r="AA35" s="3"/>
      <c r="AB35" s="3"/>
    </row>
    <row r="36">
      <c r="A36" s="19" t="s">
        <v>1374</v>
      </c>
      <c r="B36" s="55" t="s">
        <v>1375</v>
      </c>
      <c r="C36" s="19" t="s">
        <v>195</v>
      </c>
      <c r="D36" s="19" t="s">
        <v>1376</v>
      </c>
      <c r="E36" s="19" t="s">
        <v>1377</v>
      </c>
      <c r="F36" s="19" t="s">
        <v>1296</v>
      </c>
      <c r="G36" s="19" t="s">
        <v>7</v>
      </c>
      <c r="H36" s="20"/>
      <c r="I36" s="20"/>
      <c r="J36" s="3"/>
      <c r="K36" s="3"/>
      <c r="L36" s="3"/>
      <c r="M36" s="3"/>
      <c r="N36" s="3"/>
      <c r="O36" s="3"/>
      <c r="P36" s="3"/>
      <c r="Q36" s="3"/>
      <c r="R36" s="3"/>
      <c r="S36" s="3"/>
      <c r="T36" s="3"/>
      <c r="U36" s="3"/>
      <c r="V36" s="3"/>
      <c r="W36" s="3"/>
      <c r="X36" s="3"/>
      <c r="Y36" s="3"/>
      <c r="Z36" s="3"/>
      <c r="AA36" s="3"/>
      <c r="AB36" s="3"/>
    </row>
    <row r="37">
      <c r="A37" s="19" t="s">
        <v>1378</v>
      </c>
      <c r="B37" s="56"/>
      <c r="C37" s="19" t="s">
        <v>195</v>
      </c>
      <c r="D37" s="19" t="s">
        <v>1379</v>
      </c>
      <c r="E37" s="19" t="s">
        <v>1380</v>
      </c>
      <c r="F37" s="19" t="s">
        <v>1296</v>
      </c>
      <c r="G37" s="19" t="s">
        <v>7</v>
      </c>
      <c r="H37" s="20"/>
      <c r="I37" s="20"/>
      <c r="J37" s="3"/>
      <c r="K37" s="3"/>
      <c r="L37" s="3"/>
      <c r="M37" s="3"/>
      <c r="N37" s="3"/>
      <c r="O37" s="3"/>
      <c r="P37" s="3"/>
      <c r="Q37" s="3"/>
      <c r="R37" s="3"/>
      <c r="S37" s="3"/>
      <c r="T37" s="3"/>
      <c r="U37" s="3"/>
      <c r="V37" s="3"/>
      <c r="W37" s="3"/>
      <c r="X37" s="3"/>
      <c r="Y37" s="3"/>
      <c r="Z37" s="3"/>
      <c r="AA37" s="3"/>
      <c r="AB37" s="3"/>
    </row>
    <row r="38">
      <c r="A38" s="19" t="s">
        <v>1381</v>
      </c>
      <c r="B38" s="56"/>
      <c r="C38" s="19" t="s">
        <v>201</v>
      </c>
      <c r="D38" s="19" t="s">
        <v>1382</v>
      </c>
      <c r="E38" s="19" t="s">
        <v>1383</v>
      </c>
      <c r="F38" s="19" t="s">
        <v>1384</v>
      </c>
      <c r="G38" s="19" t="s">
        <v>7</v>
      </c>
      <c r="H38" s="20"/>
      <c r="I38" s="20"/>
      <c r="J38" s="3"/>
      <c r="K38" s="3"/>
      <c r="L38" s="3"/>
      <c r="M38" s="3"/>
      <c r="N38" s="3"/>
      <c r="O38" s="3"/>
      <c r="P38" s="3"/>
      <c r="Q38" s="3"/>
      <c r="R38" s="3"/>
      <c r="S38" s="3"/>
      <c r="T38" s="3"/>
      <c r="U38" s="3"/>
      <c r="V38" s="3"/>
      <c r="W38" s="3"/>
      <c r="X38" s="3"/>
      <c r="Y38" s="3"/>
      <c r="Z38" s="3"/>
      <c r="AA38" s="3"/>
      <c r="AB38" s="3"/>
    </row>
    <row r="39">
      <c r="A39" s="19" t="s">
        <v>1385</v>
      </c>
      <c r="B39" s="57"/>
      <c r="C39" s="19" t="s">
        <v>201</v>
      </c>
      <c r="D39" s="19" t="s">
        <v>1386</v>
      </c>
      <c r="E39" s="19" t="s">
        <v>1387</v>
      </c>
      <c r="F39" s="19" t="s">
        <v>1296</v>
      </c>
      <c r="G39" s="19" t="s">
        <v>7</v>
      </c>
      <c r="H39" s="20"/>
      <c r="I39" s="20"/>
      <c r="J39" s="3"/>
      <c r="K39" s="3"/>
      <c r="L39" s="3"/>
      <c r="M39" s="3"/>
      <c r="N39" s="3"/>
      <c r="O39" s="3"/>
      <c r="P39" s="3"/>
      <c r="Q39" s="3"/>
      <c r="R39" s="3"/>
      <c r="S39" s="3"/>
      <c r="T39" s="3"/>
      <c r="U39" s="3"/>
      <c r="V39" s="3"/>
      <c r="W39" s="3"/>
      <c r="X39" s="3"/>
      <c r="Y39" s="3"/>
      <c r="Z39" s="3"/>
      <c r="AA39" s="3"/>
      <c r="AB39" s="3"/>
    </row>
    <row r="40">
      <c r="A40" s="19" t="s">
        <v>1388</v>
      </c>
      <c r="B40" s="19" t="s">
        <v>1389</v>
      </c>
      <c r="C40" s="19" t="s">
        <v>201</v>
      </c>
      <c r="D40" s="19" t="s">
        <v>1390</v>
      </c>
      <c r="E40" s="19" t="s">
        <v>1391</v>
      </c>
      <c r="F40" s="19" t="s">
        <v>1296</v>
      </c>
      <c r="G40" s="19" t="s">
        <v>6</v>
      </c>
      <c r="H40" s="19"/>
      <c r="I40" s="19" t="s">
        <v>1392</v>
      </c>
      <c r="J40" s="3"/>
      <c r="K40" s="3"/>
      <c r="L40" s="3"/>
      <c r="M40" s="3"/>
      <c r="N40" s="3"/>
      <c r="O40" s="3"/>
      <c r="P40" s="3"/>
      <c r="Q40" s="3"/>
      <c r="R40" s="3"/>
      <c r="S40" s="3"/>
      <c r="T40" s="3"/>
      <c r="U40" s="3"/>
      <c r="V40" s="3"/>
      <c r="W40" s="3"/>
      <c r="X40" s="3"/>
      <c r="Y40" s="3"/>
      <c r="Z40" s="3"/>
      <c r="AA40" s="3"/>
      <c r="AB40" s="3"/>
    </row>
    <row r="41">
      <c r="A41" s="19" t="s">
        <v>1393</v>
      </c>
      <c r="B41" s="19" t="s">
        <v>1394</v>
      </c>
      <c r="C41" s="19" t="s">
        <v>201</v>
      </c>
      <c r="D41" s="19" t="s">
        <v>1395</v>
      </c>
      <c r="E41" s="19" t="s">
        <v>1396</v>
      </c>
      <c r="F41" s="19" t="s">
        <v>1397</v>
      </c>
      <c r="G41" s="19" t="s">
        <v>7</v>
      </c>
      <c r="H41" s="20"/>
      <c r="I41" s="20"/>
      <c r="J41" s="3"/>
      <c r="K41" s="3"/>
      <c r="L41" s="3"/>
      <c r="M41" s="3"/>
      <c r="N41" s="3"/>
      <c r="O41" s="3"/>
      <c r="P41" s="3"/>
      <c r="Q41" s="3"/>
      <c r="R41" s="3"/>
      <c r="S41" s="3"/>
      <c r="T41" s="3"/>
      <c r="U41" s="3"/>
      <c r="V41" s="3"/>
      <c r="W41" s="3"/>
      <c r="X41" s="3"/>
      <c r="Y41" s="3"/>
      <c r="Z41" s="3"/>
      <c r="AA41" s="3"/>
      <c r="AB41" s="3"/>
    </row>
    <row r="42">
      <c r="A42" s="19" t="s">
        <v>1398</v>
      </c>
      <c r="B42" s="55" t="s">
        <v>1399</v>
      </c>
      <c r="C42" s="19" t="s">
        <v>195</v>
      </c>
      <c r="D42" s="19" t="s">
        <v>1400</v>
      </c>
      <c r="E42" s="19" t="s">
        <v>1401</v>
      </c>
      <c r="F42" s="19" t="s">
        <v>1402</v>
      </c>
      <c r="G42" s="19" t="s">
        <v>7</v>
      </c>
      <c r="H42" s="20"/>
      <c r="I42" s="20"/>
      <c r="J42" s="3"/>
      <c r="K42" s="3"/>
      <c r="L42" s="3"/>
      <c r="M42" s="3"/>
      <c r="N42" s="3"/>
      <c r="O42" s="3"/>
      <c r="P42" s="3"/>
      <c r="Q42" s="3"/>
      <c r="R42" s="3"/>
      <c r="S42" s="3"/>
      <c r="T42" s="3"/>
      <c r="U42" s="3"/>
      <c r="V42" s="3"/>
      <c r="W42" s="3"/>
      <c r="X42" s="3"/>
      <c r="Y42" s="3"/>
      <c r="Z42" s="3"/>
      <c r="AA42" s="3"/>
      <c r="AB42" s="3"/>
    </row>
    <row r="43">
      <c r="A43" s="19" t="s">
        <v>1403</v>
      </c>
      <c r="B43" s="57"/>
      <c r="C43" s="19" t="s">
        <v>195</v>
      </c>
      <c r="D43" s="19" t="s">
        <v>1404</v>
      </c>
      <c r="E43" s="19" t="s">
        <v>1405</v>
      </c>
      <c r="F43" s="19" t="s">
        <v>1361</v>
      </c>
      <c r="G43" s="19" t="s">
        <v>7</v>
      </c>
      <c r="H43" s="20"/>
      <c r="I43" s="20"/>
      <c r="J43" s="3"/>
      <c r="K43" s="3"/>
      <c r="L43" s="3"/>
      <c r="M43" s="3"/>
      <c r="N43" s="3"/>
      <c r="O43" s="3"/>
      <c r="P43" s="3"/>
      <c r="Q43" s="3"/>
      <c r="R43" s="3"/>
      <c r="S43" s="3"/>
      <c r="T43" s="3"/>
      <c r="U43" s="3"/>
      <c r="V43" s="3"/>
      <c r="W43" s="3"/>
      <c r="X43" s="3"/>
      <c r="Y43" s="3"/>
      <c r="Z43" s="3"/>
      <c r="AA43" s="3"/>
      <c r="AB43" s="3"/>
    </row>
    <row r="44">
      <c r="A44" s="19" t="s">
        <v>1406</v>
      </c>
      <c r="B44" s="19" t="s">
        <v>1407</v>
      </c>
      <c r="C44" s="19" t="s">
        <v>195</v>
      </c>
      <c r="D44" s="19" t="s">
        <v>1408</v>
      </c>
      <c r="E44" s="19" t="s">
        <v>1409</v>
      </c>
      <c r="F44" s="20"/>
      <c r="G44" s="19" t="s">
        <v>7</v>
      </c>
      <c r="H44" s="20"/>
      <c r="I44" s="20"/>
      <c r="J44" s="3"/>
      <c r="K44" s="3"/>
      <c r="L44" s="3"/>
      <c r="M44" s="3"/>
      <c r="N44" s="3"/>
      <c r="O44" s="3"/>
      <c r="P44" s="3"/>
      <c r="Q44" s="3"/>
      <c r="R44" s="3"/>
      <c r="S44" s="3"/>
      <c r="T44" s="3"/>
      <c r="U44" s="3"/>
      <c r="V44" s="3"/>
      <c r="W44" s="3"/>
      <c r="X44" s="3"/>
      <c r="Y44" s="3"/>
      <c r="Z44" s="3"/>
      <c r="AA44" s="3"/>
      <c r="AB44" s="3"/>
    </row>
  </sheetData>
  <mergeCells count="18">
    <mergeCell ref="B1:I1"/>
    <mergeCell ref="B2:I2"/>
    <mergeCell ref="B3:I3"/>
    <mergeCell ref="D4:E4"/>
    <mergeCell ref="F4:I4"/>
    <mergeCell ref="C5:E10"/>
    <mergeCell ref="F5:I10"/>
    <mergeCell ref="B32:B33"/>
    <mergeCell ref="B34:B35"/>
    <mergeCell ref="B36:B39"/>
    <mergeCell ref="B42:B43"/>
    <mergeCell ref="B13:I13"/>
    <mergeCell ref="B14:B17"/>
    <mergeCell ref="B18:B20"/>
    <mergeCell ref="B21:B22"/>
    <mergeCell ref="B23:B24"/>
    <mergeCell ref="B27:B28"/>
    <mergeCell ref="B29:B30"/>
  </mergeCells>
  <dataValidations>
    <dataValidation type="list" allowBlank="1" showErrorMessage="1" sqref="C14:C44">
      <formula1>"Negative,Positive,UI/UX"</formula1>
    </dataValidation>
    <dataValidation type="list" allowBlank="1" showErrorMessage="1" sqref="G14:G44">
      <formula1>'CB-ST'!$A$6:$A$8</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2" width="16.13"/>
    <col customWidth="1" min="3" max="5" width="32.13"/>
    <col customWidth="1" min="6" max="6" width="16.13"/>
    <col customWidth="1" min="7" max="7" width="8.13"/>
    <col customWidth="1" min="8" max="8" width="32.13"/>
  </cols>
  <sheetData>
    <row r="1" ht="31.5" customHeight="1">
      <c r="A1" s="6" t="s">
        <v>0</v>
      </c>
      <c r="B1" s="22" t="s">
        <v>1</v>
      </c>
      <c r="C1" s="9"/>
      <c r="D1" s="9"/>
      <c r="E1" s="9"/>
      <c r="F1" s="9"/>
      <c r="G1" s="9"/>
      <c r="H1" s="10"/>
      <c r="I1" s="3"/>
      <c r="J1" s="3"/>
      <c r="K1" s="3"/>
      <c r="L1" s="3"/>
      <c r="M1" s="3"/>
      <c r="N1" s="3"/>
      <c r="O1" s="3"/>
      <c r="P1" s="3"/>
      <c r="Q1" s="3"/>
      <c r="R1" s="3"/>
      <c r="S1" s="3"/>
      <c r="T1" s="3"/>
      <c r="U1" s="3"/>
      <c r="V1" s="3"/>
      <c r="W1" s="3"/>
      <c r="X1" s="3"/>
      <c r="Y1" s="3"/>
      <c r="Z1" s="3"/>
      <c r="AA1" s="3"/>
    </row>
    <row r="2" ht="31.5" customHeight="1">
      <c r="A2" s="6" t="s">
        <v>178</v>
      </c>
      <c r="B2" s="22" t="s">
        <v>523</v>
      </c>
      <c r="C2" s="9"/>
      <c r="D2" s="9"/>
      <c r="E2" s="9"/>
      <c r="F2" s="9"/>
      <c r="G2" s="9"/>
      <c r="H2" s="10"/>
      <c r="I2" s="3"/>
      <c r="J2" s="3"/>
      <c r="K2" s="3"/>
      <c r="L2" s="3"/>
      <c r="M2" s="3"/>
      <c r="N2" s="3"/>
      <c r="O2" s="3"/>
      <c r="P2" s="3"/>
      <c r="Q2" s="3"/>
      <c r="R2" s="3"/>
      <c r="S2" s="3"/>
      <c r="T2" s="3"/>
      <c r="U2" s="3"/>
      <c r="V2" s="3"/>
      <c r="W2" s="3"/>
      <c r="X2" s="3"/>
      <c r="Y2" s="3"/>
      <c r="Z2" s="3"/>
      <c r="AA2" s="3"/>
    </row>
    <row r="3" ht="31.5" customHeight="1">
      <c r="A3" s="6" t="s">
        <v>180</v>
      </c>
      <c r="B3" s="22" t="s">
        <v>524</v>
      </c>
      <c r="C3" s="9"/>
      <c r="D3" s="9"/>
      <c r="E3" s="9"/>
      <c r="F3" s="9"/>
      <c r="G3" s="9"/>
      <c r="H3" s="10"/>
      <c r="I3" s="3"/>
      <c r="J3" s="3"/>
      <c r="K3" s="3"/>
      <c r="L3" s="3"/>
      <c r="M3" s="3"/>
      <c r="N3" s="3"/>
      <c r="O3" s="3"/>
      <c r="P3" s="3"/>
      <c r="Q3" s="3"/>
      <c r="R3" s="3"/>
      <c r="S3" s="3"/>
      <c r="T3" s="3"/>
      <c r="U3" s="3"/>
      <c r="V3" s="3"/>
      <c r="W3" s="3"/>
      <c r="X3" s="3"/>
      <c r="Y3" s="3"/>
      <c r="Z3" s="3"/>
      <c r="AA3" s="3"/>
    </row>
    <row r="4">
      <c r="A4" s="6" t="s">
        <v>2</v>
      </c>
      <c r="B4" s="7">
        <f>COUNTA(C13:C205)</f>
        <v>21</v>
      </c>
      <c r="C4" s="8" t="s">
        <v>10</v>
      </c>
      <c r="D4" s="10"/>
      <c r="E4" s="8" t="s">
        <v>3</v>
      </c>
      <c r="F4" s="9"/>
      <c r="G4" s="9"/>
      <c r="H4" s="10"/>
      <c r="I4" s="3"/>
      <c r="J4" s="3"/>
      <c r="K4" s="3"/>
      <c r="L4" s="3"/>
      <c r="M4" s="3"/>
      <c r="N4" s="3"/>
      <c r="O4" s="3"/>
      <c r="P4" s="3"/>
      <c r="Q4" s="3"/>
      <c r="R4" s="3"/>
      <c r="S4" s="3"/>
      <c r="T4" s="3"/>
      <c r="U4" s="3"/>
      <c r="V4" s="3"/>
      <c r="W4" s="3"/>
      <c r="X4" s="3"/>
      <c r="Y4" s="3"/>
      <c r="Z4" s="3"/>
      <c r="AA4" s="3"/>
    </row>
    <row r="5">
      <c r="A5" s="6" t="s">
        <v>4</v>
      </c>
      <c r="B5" s="7">
        <f>COUNTIFS(C13:C205, "&lt;&gt;", F13:F205, "&lt;&gt;")</f>
        <v>0</v>
      </c>
      <c r="C5" s="11" t="s">
        <v>522</v>
      </c>
      <c r="D5" s="13"/>
      <c r="E5" s="11" t="s">
        <v>521</v>
      </c>
      <c r="F5" s="12"/>
      <c r="G5" s="12"/>
      <c r="H5" s="13"/>
      <c r="I5" s="3"/>
      <c r="J5" s="3"/>
      <c r="K5" s="3"/>
      <c r="L5" s="3"/>
      <c r="M5" s="3"/>
      <c r="N5" s="3"/>
      <c r="O5" s="3"/>
      <c r="P5" s="3"/>
      <c r="Q5" s="3"/>
      <c r="R5" s="3"/>
      <c r="S5" s="3"/>
      <c r="T5" s="3"/>
      <c r="U5" s="3"/>
      <c r="V5" s="3"/>
      <c r="W5" s="3"/>
      <c r="X5" s="3"/>
      <c r="Y5" s="3"/>
      <c r="Z5" s="3"/>
      <c r="AA5" s="3"/>
    </row>
    <row r="6">
      <c r="A6" s="6" t="s">
        <v>6</v>
      </c>
      <c r="B6" s="7">
        <f>B4-B5</f>
        <v>21</v>
      </c>
      <c r="C6" s="14"/>
      <c r="D6" s="15"/>
      <c r="E6" s="14"/>
      <c r="H6" s="15"/>
      <c r="I6" s="3"/>
      <c r="J6" s="3"/>
      <c r="K6" s="3"/>
      <c r="L6" s="3"/>
      <c r="M6" s="3"/>
      <c r="N6" s="3"/>
      <c r="O6" s="3"/>
      <c r="P6" s="3"/>
      <c r="Q6" s="3"/>
      <c r="R6" s="3"/>
      <c r="S6" s="3"/>
      <c r="T6" s="3"/>
      <c r="U6" s="3"/>
      <c r="V6" s="3"/>
      <c r="W6" s="3"/>
      <c r="X6" s="3"/>
      <c r="Y6" s="3"/>
      <c r="Z6" s="3"/>
      <c r="AA6" s="3"/>
    </row>
    <row r="7">
      <c r="A7" s="6" t="s">
        <v>7</v>
      </c>
      <c r="B7" s="7">
        <f t="shared" ref="B7:B9" si="1">COUNTIF($F$13:$F205,A7)</f>
        <v>0</v>
      </c>
      <c r="C7" s="14"/>
      <c r="D7" s="15"/>
      <c r="E7" s="14"/>
      <c r="H7" s="15"/>
      <c r="I7" s="3"/>
      <c r="J7" s="3"/>
      <c r="K7" s="3"/>
      <c r="L7" s="3"/>
      <c r="M7" s="3"/>
      <c r="N7" s="3"/>
      <c r="O7" s="3"/>
      <c r="P7" s="3"/>
      <c r="Q7" s="3"/>
      <c r="R7" s="3"/>
      <c r="S7" s="3"/>
      <c r="T7" s="3"/>
      <c r="U7" s="3"/>
      <c r="V7" s="3"/>
      <c r="W7" s="3"/>
      <c r="X7" s="3"/>
      <c r="Y7" s="3"/>
      <c r="Z7" s="3"/>
      <c r="AA7" s="3"/>
    </row>
    <row r="8">
      <c r="A8" s="6" t="s">
        <v>558</v>
      </c>
      <c r="B8" s="7">
        <f t="shared" si="1"/>
        <v>0</v>
      </c>
      <c r="C8" s="14"/>
      <c r="D8" s="15"/>
      <c r="E8" s="14"/>
      <c r="H8" s="15"/>
      <c r="I8" s="3"/>
      <c r="J8" s="3"/>
      <c r="K8" s="3"/>
      <c r="L8" s="3"/>
      <c r="M8" s="3"/>
      <c r="N8" s="3"/>
      <c r="O8" s="3"/>
      <c r="P8" s="3"/>
      <c r="Q8" s="3"/>
      <c r="R8" s="3"/>
      <c r="S8" s="3"/>
      <c r="T8" s="3"/>
      <c r="U8" s="3"/>
      <c r="V8" s="3"/>
      <c r="W8" s="3"/>
      <c r="X8" s="3"/>
      <c r="Y8" s="3"/>
      <c r="Z8" s="3"/>
      <c r="AA8" s="3"/>
    </row>
    <row r="9">
      <c r="A9" s="6" t="s">
        <v>8</v>
      </c>
      <c r="B9" s="7">
        <f t="shared" si="1"/>
        <v>0</v>
      </c>
      <c r="C9" s="14"/>
      <c r="D9" s="15"/>
      <c r="E9" s="14"/>
      <c r="H9" s="15"/>
      <c r="I9" s="3"/>
      <c r="J9" s="3"/>
      <c r="K9" s="3"/>
      <c r="L9" s="3"/>
      <c r="M9" s="3"/>
      <c r="N9" s="3"/>
      <c r="O9" s="3"/>
      <c r="P9" s="3"/>
      <c r="Q9" s="3"/>
      <c r="R9" s="3"/>
      <c r="S9" s="3"/>
      <c r="T9" s="3"/>
      <c r="U9" s="3"/>
      <c r="V9" s="3"/>
      <c r="W9" s="3"/>
      <c r="X9" s="3"/>
      <c r="Y9" s="3"/>
      <c r="Z9" s="3"/>
      <c r="AA9" s="3"/>
    </row>
    <row r="10">
      <c r="A10" s="6" t="s">
        <v>9</v>
      </c>
      <c r="B10" s="7">
        <f>SUM(G13:G205)</f>
        <v>0</v>
      </c>
      <c r="C10" s="16"/>
      <c r="D10" s="17"/>
      <c r="E10" s="16"/>
      <c r="F10" s="18"/>
      <c r="G10" s="18"/>
      <c r="H10" s="17"/>
      <c r="I10" s="3"/>
      <c r="J10" s="3"/>
      <c r="K10" s="3"/>
      <c r="L10" s="3"/>
      <c r="M10" s="3"/>
      <c r="N10" s="3"/>
      <c r="O10" s="3"/>
      <c r="P10" s="3"/>
      <c r="Q10" s="3"/>
      <c r="R10" s="3"/>
      <c r="S10" s="3"/>
      <c r="T10" s="3"/>
      <c r="U10" s="3"/>
      <c r="V10" s="3"/>
      <c r="W10" s="3"/>
      <c r="X10" s="3"/>
      <c r="Y10" s="3"/>
      <c r="Z10" s="3"/>
      <c r="AA10" s="3"/>
    </row>
    <row r="11">
      <c r="A11" s="5"/>
      <c r="B11" s="5"/>
      <c r="C11" s="5"/>
      <c r="D11" s="5"/>
      <c r="E11" s="5"/>
      <c r="F11" s="5"/>
      <c r="G11" s="5"/>
      <c r="H11" s="5"/>
      <c r="I11" s="3"/>
      <c r="J11" s="3"/>
      <c r="K11" s="3"/>
      <c r="L11" s="3"/>
      <c r="M11" s="3"/>
      <c r="N11" s="3"/>
      <c r="O11" s="3"/>
      <c r="P11" s="3"/>
      <c r="Q11" s="3"/>
      <c r="R11" s="3"/>
      <c r="S11" s="3"/>
      <c r="T11" s="3"/>
      <c r="U11" s="3"/>
      <c r="V11" s="3"/>
      <c r="W11" s="3"/>
      <c r="X11" s="3"/>
      <c r="Y11" s="3"/>
      <c r="Z11" s="3"/>
      <c r="AA11" s="3"/>
    </row>
    <row r="12" ht="36.0" customHeight="1">
      <c r="A12" s="6" t="s">
        <v>12</v>
      </c>
      <c r="B12" s="6" t="s">
        <v>14</v>
      </c>
      <c r="C12" s="6" t="s">
        <v>186</v>
      </c>
      <c r="D12" s="6" t="s">
        <v>187</v>
      </c>
      <c r="E12" s="6" t="s">
        <v>188</v>
      </c>
      <c r="F12" s="6" t="s">
        <v>189</v>
      </c>
      <c r="G12" s="6" t="s">
        <v>190</v>
      </c>
      <c r="H12" s="6" t="s">
        <v>191</v>
      </c>
      <c r="I12" s="3"/>
      <c r="J12" s="3"/>
      <c r="K12" s="3"/>
      <c r="L12" s="3"/>
      <c r="M12" s="3"/>
      <c r="N12" s="3"/>
      <c r="O12" s="3"/>
      <c r="P12" s="3"/>
      <c r="Q12" s="3"/>
      <c r="R12" s="3"/>
      <c r="S12" s="3"/>
      <c r="T12" s="3"/>
      <c r="U12" s="3"/>
      <c r="V12" s="3"/>
      <c r="W12" s="3"/>
      <c r="X12" s="3"/>
      <c r="Y12" s="3"/>
      <c r="Z12" s="3"/>
      <c r="AA12" s="3"/>
    </row>
    <row r="13">
      <c r="A13" s="19" t="s">
        <v>1410</v>
      </c>
      <c r="B13" s="55" t="s">
        <v>1411</v>
      </c>
      <c r="C13" s="19" t="s">
        <v>1412</v>
      </c>
      <c r="D13" s="19" t="s">
        <v>1413</v>
      </c>
      <c r="E13" s="20"/>
      <c r="F13" s="20"/>
      <c r="G13" s="20"/>
      <c r="H13" s="20"/>
      <c r="I13" s="3"/>
      <c r="J13" s="3"/>
      <c r="K13" s="3"/>
      <c r="L13" s="3"/>
      <c r="M13" s="3"/>
      <c r="N13" s="3"/>
      <c r="O13" s="3"/>
      <c r="P13" s="3"/>
      <c r="Q13" s="3"/>
      <c r="R13" s="3"/>
      <c r="S13" s="3"/>
      <c r="T13" s="3"/>
      <c r="U13" s="3"/>
      <c r="V13" s="3"/>
      <c r="W13" s="3"/>
      <c r="X13" s="3"/>
      <c r="Y13" s="3"/>
      <c r="Z13" s="3"/>
      <c r="AA13" s="3"/>
    </row>
    <row r="14">
      <c r="A14" s="19" t="s">
        <v>1414</v>
      </c>
      <c r="B14" s="56"/>
      <c r="C14" s="19" t="s">
        <v>1415</v>
      </c>
      <c r="D14" s="19" t="s">
        <v>1416</v>
      </c>
      <c r="E14" s="20"/>
      <c r="F14" s="20"/>
      <c r="G14" s="20"/>
      <c r="H14" s="20"/>
      <c r="I14" s="3"/>
      <c r="J14" s="3"/>
      <c r="K14" s="3"/>
      <c r="L14" s="3"/>
      <c r="M14" s="3"/>
      <c r="N14" s="3"/>
      <c r="O14" s="3"/>
      <c r="P14" s="3"/>
      <c r="Q14" s="3"/>
      <c r="R14" s="3"/>
      <c r="S14" s="3"/>
      <c r="T14" s="3"/>
      <c r="U14" s="3"/>
      <c r="V14" s="3"/>
      <c r="W14" s="3"/>
      <c r="X14" s="3"/>
      <c r="Y14" s="3"/>
      <c r="Z14" s="3"/>
      <c r="AA14" s="3"/>
    </row>
    <row r="15">
      <c r="A15" s="19" t="s">
        <v>1417</v>
      </c>
      <c r="B15" s="56"/>
      <c r="C15" s="19" t="s">
        <v>1418</v>
      </c>
      <c r="D15" s="19" t="s">
        <v>1419</v>
      </c>
      <c r="E15" s="20"/>
      <c r="F15" s="20"/>
      <c r="G15" s="20"/>
      <c r="H15" s="20"/>
      <c r="I15" s="3"/>
      <c r="J15" s="3"/>
      <c r="K15" s="3"/>
      <c r="L15" s="3"/>
      <c r="M15" s="3"/>
      <c r="N15" s="3"/>
      <c r="O15" s="3"/>
      <c r="P15" s="3"/>
      <c r="Q15" s="3"/>
      <c r="R15" s="3"/>
      <c r="S15" s="3"/>
      <c r="T15" s="3"/>
      <c r="U15" s="3"/>
      <c r="V15" s="3"/>
      <c r="W15" s="3"/>
      <c r="X15" s="3"/>
      <c r="Y15" s="3"/>
      <c r="Z15" s="3"/>
      <c r="AA15" s="3"/>
    </row>
    <row r="16">
      <c r="A16" s="19" t="s">
        <v>1420</v>
      </c>
      <c r="B16" s="56"/>
      <c r="C16" s="19" t="s">
        <v>1421</v>
      </c>
      <c r="D16" s="19" t="s">
        <v>1422</v>
      </c>
      <c r="E16" s="20"/>
      <c r="F16" s="20"/>
      <c r="G16" s="20"/>
      <c r="H16" s="20"/>
      <c r="I16" s="3"/>
      <c r="J16" s="3"/>
      <c r="K16" s="3"/>
      <c r="L16" s="3"/>
      <c r="M16" s="3"/>
      <c r="N16" s="3"/>
      <c r="O16" s="3"/>
      <c r="P16" s="3"/>
      <c r="Q16" s="3"/>
      <c r="R16" s="3"/>
      <c r="S16" s="3"/>
      <c r="T16" s="3"/>
      <c r="U16" s="3"/>
      <c r="V16" s="3"/>
      <c r="W16" s="3"/>
      <c r="X16" s="3"/>
      <c r="Y16" s="3"/>
      <c r="Z16" s="3"/>
      <c r="AA16" s="3"/>
    </row>
    <row r="17">
      <c r="A17" s="19" t="s">
        <v>1423</v>
      </c>
      <c r="B17" s="57"/>
      <c r="C17" s="19" t="s">
        <v>1424</v>
      </c>
      <c r="D17" s="19" t="s">
        <v>1425</v>
      </c>
      <c r="E17" s="20"/>
      <c r="F17" s="20"/>
      <c r="G17" s="20"/>
      <c r="H17" s="20"/>
      <c r="I17" s="3"/>
      <c r="J17" s="3"/>
      <c r="K17" s="3"/>
      <c r="L17" s="3"/>
      <c r="M17" s="3"/>
      <c r="N17" s="3"/>
      <c r="O17" s="3"/>
      <c r="P17" s="3"/>
      <c r="Q17" s="3"/>
      <c r="R17" s="3"/>
      <c r="S17" s="3"/>
      <c r="T17" s="3"/>
      <c r="U17" s="3"/>
      <c r="V17" s="3"/>
      <c r="W17" s="3"/>
      <c r="X17" s="3"/>
      <c r="Y17" s="3"/>
      <c r="Z17" s="3"/>
      <c r="AA17" s="3"/>
    </row>
    <row r="18">
      <c r="A18" s="19" t="s">
        <v>1426</v>
      </c>
      <c r="B18" s="55" t="s">
        <v>1427</v>
      </c>
      <c r="C18" s="19" t="s">
        <v>1428</v>
      </c>
      <c r="D18" s="19" t="s">
        <v>1429</v>
      </c>
      <c r="E18" s="20"/>
      <c r="F18" s="20"/>
      <c r="G18" s="20"/>
      <c r="H18" s="20"/>
      <c r="I18" s="3"/>
      <c r="J18" s="3"/>
      <c r="K18" s="3"/>
      <c r="L18" s="3"/>
      <c r="M18" s="3"/>
      <c r="N18" s="3"/>
      <c r="O18" s="3"/>
      <c r="P18" s="3"/>
      <c r="Q18" s="3"/>
      <c r="R18" s="3"/>
      <c r="S18" s="3"/>
      <c r="T18" s="3"/>
      <c r="U18" s="3"/>
      <c r="V18" s="3"/>
      <c r="W18" s="3"/>
      <c r="X18" s="3"/>
      <c r="Y18" s="3"/>
      <c r="Z18" s="3"/>
      <c r="AA18" s="3"/>
    </row>
    <row r="19">
      <c r="A19" s="19" t="s">
        <v>1430</v>
      </c>
      <c r="B19" s="56"/>
      <c r="C19" s="19" t="s">
        <v>1431</v>
      </c>
      <c r="D19" s="19" t="s">
        <v>1432</v>
      </c>
      <c r="E19" s="20"/>
      <c r="F19" s="20"/>
      <c r="G19" s="20"/>
      <c r="H19" s="20"/>
      <c r="I19" s="3"/>
      <c r="J19" s="3"/>
      <c r="K19" s="3"/>
      <c r="L19" s="3"/>
      <c r="M19" s="3"/>
      <c r="N19" s="3"/>
      <c r="O19" s="3"/>
      <c r="P19" s="3"/>
      <c r="Q19" s="3"/>
      <c r="R19" s="3"/>
      <c r="S19" s="3"/>
      <c r="T19" s="3"/>
      <c r="U19" s="3"/>
      <c r="V19" s="3"/>
      <c r="W19" s="3"/>
      <c r="X19" s="3"/>
      <c r="Y19" s="3"/>
      <c r="Z19" s="3"/>
      <c r="AA19" s="3"/>
    </row>
    <row r="20">
      <c r="A20" s="19" t="s">
        <v>1433</v>
      </c>
      <c r="B20" s="56"/>
      <c r="C20" s="19" t="s">
        <v>1434</v>
      </c>
      <c r="D20" s="19" t="s">
        <v>1435</v>
      </c>
      <c r="E20" s="20"/>
      <c r="F20" s="20"/>
      <c r="G20" s="20"/>
      <c r="H20" s="20"/>
      <c r="I20" s="3"/>
      <c r="J20" s="3"/>
      <c r="K20" s="3"/>
      <c r="L20" s="3"/>
      <c r="M20" s="3"/>
      <c r="N20" s="3"/>
      <c r="O20" s="3"/>
      <c r="P20" s="3"/>
      <c r="Q20" s="3"/>
      <c r="R20" s="3"/>
      <c r="S20" s="3"/>
      <c r="T20" s="3"/>
      <c r="U20" s="3"/>
      <c r="V20" s="3"/>
      <c r="W20" s="3"/>
      <c r="X20" s="3"/>
      <c r="Y20" s="3"/>
      <c r="Z20" s="3"/>
      <c r="AA20" s="3"/>
    </row>
    <row r="21">
      <c r="A21" s="19" t="s">
        <v>1436</v>
      </c>
      <c r="B21" s="57"/>
      <c r="C21" s="19" t="s">
        <v>1437</v>
      </c>
      <c r="D21" s="19" t="s">
        <v>1438</v>
      </c>
      <c r="E21" s="20"/>
      <c r="F21" s="20"/>
      <c r="G21" s="20"/>
      <c r="H21" s="20"/>
      <c r="I21" s="3"/>
      <c r="J21" s="3"/>
      <c r="K21" s="3"/>
      <c r="L21" s="3"/>
      <c r="M21" s="3"/>
      <c r="N21" s="3"/>
      <c r="O21" s="3"/>
      <c r="P21" s="3"/>
      <c r="Q21" s="3"/>
      <c r="R21" s="3"/>
      <c r="S21" s="3"/>
      <c r="T21" s="3"/>
      <c r="U21" s="3"/>
      <c r="V21" s="3"/>
      <c r="W21" s="3"/>
      <c r="X21" s="3"/>
      <c r="Y21" s="3"/>
      <c r="Z21" s="3"/>
      <c r="AA21" s="3"/>
    </row>
    <row r="22">
      <c r="A22" s="19" t="s">
        <v>1439</v>
      </c>
      <c r="B22" s="55" t="s">
        <v>1440</v>
      </c>
      <c r="C22" s="19" t="s">
        <v>1441</v>
      </c>
      <c r="D22" s="19" t="s">
        <v>1442</v>
      </c>
      <c r="E22" s="20"/>
      <c r="F22" s="20"/>
      <c r="G22" s="20"/>
      <c r="H22" s="20"/>
      <c r="I22" s="3"/>
      <c r="J22" s="3"/>
      <c r="K22" s="3"/>
      <c r="L22" s="3"/>
      <c r="M22" s="3"/>
      <c r="N22" s="3"/>
      <c r="O22" s="3"/>
      <c r="P22" s="3"/>
      <c r="Q22" s="3"/>
      <c r="R22" s="3"/>
      <c r="S22" s="3"/>
      <c r="T22" s="3"/>
      <c r="U22" s="3"/>
      <c r="V22" s="3"/>
      <c r="W22" s="3"/>
      <c r="X22" s="3"/>
      <c r="Y22" s="3"/>
      <c r="Z22" s="3"/>
      <c r="AA22" s="3"/>
    </row>
    <row r="23">
      <c r="A23" s="19" t="s">
        <v>1443</v>
      </c>
      <c r="B23" s="56"/>
      <c r="C23" s="19" t="s">
        <v>1444</v>
      </c>
      <c r="D23" s="19" t="s">
        <v>1445</v>
      </c>
      <c r="E23" s="20"/>
      <c r="F23" s="20"/>
      <c r="G23" s="20"/>
      <c r="H23" s="20"/>
      <c r="I23" s="3"/>
      <c r="J23" s="3"/>
      <c r="K23" s="3"/>
      <c r="L23" s="3"/>
      <c r="M23" s="3"/>
      <c r="N23" s="3"/>
      <c r="O23" s="3"/>
      <c r="P23" s="3"/>
      <c r="Q23" s="3"/>
      <c r="R23" s="3"/>
      <c r="S23" s="3"/>
      <c r="T23" s="3"/>
      <c r="U23" s="3"/>
      <c r="V23" s="3"/>
      <c r="W23" s="3"/>
      <c r="X23" s="3"/>
      <c r="Y23" s="3"/>
      <c r="Z23" s="3"/>
      <c r="AA23" s="3"/>
    </row>
    <row r="24">
      <c r="A24" s="19" t="s">
        <v>1446</v>
      </c>
      <c r="B24" s="57"/>
      <c r="C24" s="19" t="s">
        <v>1447</v>
      </c>
      <c r="D24" s="19" t="s">
        <v>1448</v>
      </c>
      <c r="E24" s="20"/>
      <c r="F24" s="20"/>
      <c r="G24" s="20"/>
      <c r="H24" s="20"/>
      <c r="I24" s="3"/>
      <c r="J24" s="3"/>
      <c r="K24" s="3"/>
      <c r="L24" s="3"/>
      <c r="M24" s="3"/>
      <c r="N24" s="3"/>
      <c r="O24" s="3"/>
      <c r="P24" s="3"/>
      <c r="Q24" s="3"/>
      <c r="R24" s="3"/>
      <c r="S24" s="3"/>
      <c r="T24" s="3"/>
      <c r="U24" s="3"/>
      <c r="V24" s="3"/>
      <c r="W24" s="3"/>
      <c r="X24" s="3"/>
      <c r="Y24" s="3"/>
      <c r="Z24" s="3"/>
      <c r="AA24" s="3"/>
    </row>
    <row r="25">
      <c r="A25" s="19" t="s">
        <v>1449</v>
      </c>
      <c r="B25" s="55" t="s">
        <v>1450</v>
      </c>
      <c r="C25" s="19" t="s">
        <v>1451</v>
      </c>
      <c r="D25" s="19" t="s">
        <v>1452</v>
      </c>
      <c r="E25" s="20"/>
      <c r="F25" s="20"/>
      <c r="G25" s="20"/>
      <c r="H25" s="20"/>
      <c r="I25" s="3"/>
      <c r="J25" s="3"/>
      <c r="K25" s="3"/>
      <c r="L25" s="3"/>
      <c r="M25" s="3"/>
      <c r="N25" s="3"/>
      <c r="O25" s="3"/>
      <c r="P25" s="3"/>
      <c r="Q25" s="3"/>
      <c r="R25" s="3"/>
      <c r="S25" s="3"/>
      <c r="T25" s="3"/>
      <c r="U25" s="3"/>
      <c r="V25" s="3"/>
      <c r="W25" s="3"/>
      <c r="X25" s="3"/>
      <c r="Y25" s="3"/>
      <c r="Z25" s="3"/>
      <c r="AA25" s="3"/>
    </row>
    <row r="26">
      <c r="A26" s="19" t="s">
        <v>1453</v>
      </c>
      <c r="B26" s="56"/>
      <c r="C26" s="19" t="s">
        <v>1454</v>
      </c>
      <c r="D26" s="19" t="s">
        <v>1455</v>
      </c>
      <c r="E26" s="20"/>
      <c r="F26" s="20"/>
      <c r="G26" s="20"/>
      <c r="H26" s="20"/>
      <c r="I26" s="3"/>
      <c r="J26" s="3"/>
      <c r="K26" s="3"/>
      <c r="L26" s="3"/>
      <c r="M26" s="3"/>
      <c r="N26" s="3"/>
      <c r="O26" s="3"/>
      <c r="P26" s="3"/>
      <c r="Q26" s="3"/>
      <c r="R26" s="3"/>
      <c r="S26" s="3"/>
      <c r="T26" s="3"/>
      <c r="U26" s="3"/>
      <c r="V26" s="3"/>
      <c r="W26" s="3"/>
      <c r="X26" s="3"/>
      <c r="Y26" s="3"/>
      <c r="Z26" s="3"/>
      <c r="AA26" s="3"/>
    </row>
    <row r="27">
      <c r="A27" s="19" t="s">
        <v>1456</v>
      </c>
      <c r="B27" s="56"/>
      <c r="C27" s="19" t="s">
        <v>1457</v>
      </c>
      <c r="D27" s="19" t="s">
        <v>1458</v>
      </c>
      <c r="E27" s="20"/>
      <c r="F27" s="20"/>
      <c r="G27" s="20"/>
      <c r="H27" s="20"/>
      <c r="I27" s="3"/>
      <c r="J27" s="3"/>
      <c r="K27" s="3"/>
      <c r="L27" s="3"/>
      <c r="M27" s="3"/>
      <c r="N27" s="3"/>
      <c r="O27" s="3"/>
      <c r="P27" s="3"/>
      <c r="Q27" s="3"/>
      <c r="R27" s="3"/>
      <c r="S27" s="3"/>
      <c r="T27" s="3"/>
      <c r="U27" s="3"/>
      <c r="V27" s="3"/>
      <c r="W27" s="3"/>
      <c r="X27" s="3"/>
      <c r="Y27" s="3"/>
      <c r="Z27" s="3"/>
      <c r="AA27" s="3"/>
    </row>
    <row r="28">
      <c r="A28" s="19" t="s">
        <v>1459</v>
      </c>
      <c r="B28" s="56"/>
      <c r="C28" s="19" t="s">
        <v>1460</v>
      </c>
      <c r="D28" s="19" t="s">
        <v>1461</v>
      </c>
      <c r="E28" s="20"/>
      <c r="F28" s="20"/>
      <c r="G28" s="20"/>
      <c r="H28" s="20"/>
      <c r="I28" s="3"/>
      <c r="J28" s="3"/>
      <c r="K28" s="3"/>
      <c r="L28" s="3"/>
      <c r="M28" s="3"/>
      <c r="N28" s="3"/>
      <c r="O28" s="3"/>
      <c r="P28" s="3"/>
      <c r="Q28" s="3"/>
      <c r="R28" s="3"/>
      <c r="S28" s="3"/>
      <c r="T28" s="3"/>
      <c r="U28" s="3"/>
      <c r="V28" s="3"/>
      <c r="W28" s="3"/>
      <c r="X28" s="3"/>
      <c r="Y28" s="3"/>
      <c r="Z28" s="3"/>
      <c r="AA28" s="3"/>
    </row>
    <row r="29">
      <c r="A29" s="19" t="s">
        <v>1462</v>
      </c>
      <c r="B29" s="56"/>
      <c r="C29" s="19" t="s">
        <v>1463</v>
      </c>
      <c r="D29" s="19" t="s">
        <v>1464</v>
      </c>
      <c r="E29" s="20"/>
      <c r="F29" s="20"/>
      <c r="G29" s="20"/>
      <c r="H29" s="20"/>
      <c r="I29" s="3"/>
      <c r="J29" s="3"/>
      <c r="K29" s="3"/>
      <c r="L29" s="3"/>
      <c r="M29" s="3"/>
      <c r="N29" s="3"/>
      <c r="O29" s="3"/>
      <c r="P29" s="3"/>
      <c r="Q29" s="3"/>
      <c r="R29" s="3"/>
      <c r="S29" s="3"/>
      <c r="T29" s="3"/>
      <c r="U29" s="3"/>
      <c r="V29" s="3"/>
      <c r="W29" s="3"/>
      <c r="X29" s="3"/>
      <c r="Y29" s="3"/>
      <c r="Z29" s="3"/>
      <c r="AA29" s="3"/>
    </row>
    <row r="30">
      <c r="A30" s="19" t="s">
        <v>1465</v>
      </c>
      <c r="B30" s="57"/>
      <c r="C30" s="19" t="s">
        <v>1466</v>
      </c>
      <c r="D30" s="19" t="s">
        <v>1467</v>
      </c>
      <c r="E30" s="20"/>
      <c r="F30" s="20"/>
      <c r="G30" s="20"/>
      <c r="H30" s="20"/>
      <c r="I30" s="3"/>
      <c r="J30" s="3"/>
      <c r="K30" s="3"/>
      <c r="L30" s="3"/>
      <c r="M30" s="3"/>
      <c r="N30" s="3"/>
      <c r="O30" s="3"/>
      <c r="P30" s="3"/>
      <c r="Q30" s="3"/>
      <c r="R30" s="3"/>
      <c r="S30" s="3"/>
      <c r="T30" s="3"/>
      <c r="U30" s="3"/>
      <c r="V30" s="3"/>
      <c r="W30" s="3"/>
      <c r="X30" s="3"/>
      <c r="Y30" s="3"/>
      <c r="Z30" s="3"/>
      <c r="AA30" s="3"/>
    </row>
    <row r="31">
      <c r="A31" s="19" t="s">
        <v>1468</v>
      </c>
      <c r="B31" s="55" t="s">
        <v>1469</v>
      </c>
      <c r="C31" s="19" t="s">
        <v>1470</v>
      </c>
      <c r="D31" s="19" t="s">
        <v>1471</v>
      </c>
      <c r="E31" s="20"/>
      <c r="F31" s="20"/>
      <c r="G31" s="20"/>
      <c r="H31" s="20"/>
      <c r="I31" s="3"/>
      <c r="J31" s="3"/>
      <c r="K31" s="3"/>
      <c r="L31" s="3"/>
      <c r="M31" s="3"/>
      <c r="N31" s="3"/>
      <c r="O31" s="3"/>
      <c r="P31" s="3"/>
      <c r="Q31" s="3"/>
      <c r="R31" s="3"/>
      <c r="S31" s="3"/>
      <c r="T31" s="3"/>
      <c r="U31" s="3"/>
      <c r="V31" s="3"/>
      <c r="W31" s="3"/>
      <c r="X31" s="3"/>
      <c r="Y31" s="3"/>
      <c r="Z31" s="3"/>
      <c r="AA31" s="3"/>
    </row>
    <row r="32">
      <c r="A32" s="19" t="s">
        <v>1472</v>
      </c>
      <c r="B32" s="56"/>
      <c r="C32" s="19" t="s">
        <v>1473</v>
      </c>
      <c r="D32" s="19" t="s">
        <v>1474</v>
      </c>
      <c r="E32" s="20"/>
      <c r="F32" s="20"/>
      <c r="G32" s="20"/>
      <c r="H32" s="20"/>
      <c r="I32" s="3"/>
      <c r="J32" s="3"/>
      <c r="K32" s="3"/>
      <c r="L32" s="3"/>
      <c r="M32" s="3"/>
      <c r="N32" s="3"/>
      <c r="O32" s="3"/>
      <c r="P32" s="3"/>
      <c r="Q32" s="3"/>
      <c r="R32" s="3"/>
      <c r="S32" s="3"/>
      <c r="T32" s="3"/>
      <c r="U32" s="3"/>
      <c r="V32" s="3"/>
      <c r="W32" s="3"/>
      <c r="X32" s="3"/>
      <c r="Y32" s="3"/>
      <c r="Z32" s="3"/>
      <c r="AA32" s="3"/>
    </row>
    <row r="33">
      <c r="A33" s="19" t="s">
        <v>1475</v>
      </c>
      <c r="B33" s="57"/>
      <c r="C33" s="19" t="s">
        <v>1476</v>
      </c>
      <c r="D33" s="19" t="s">
        <v>1477</v>
      </c>
      <c r="E33" s="20"/>
      <c r="F33" s="20"/>
      <c r="G33" s="20"/>
      <c r="H33" s="20"/>
      <c r="I33" s="3"/>
      <c r="J33" s="3"/>
      <c r="K33" s="3"/>
      <c r="L33" s="3"/>
      <c r="M33" s="3"/>
      <c r="N33" s="3"/>
      <c r="O33" s="3"/>
      <c r="P33" s="3"/>
      <c r="Q33" s="3"/>
      <c r="R33" s="3"/>
      <c r="S33" s="3"/>
      <c r="T33" s="3"/>
      <c r="U33" s="3"/>
      <c r="V33" s="3"/>
      <c r="W33" s="3"/>
      <c r="X33" s="3"/>
      <c r="Y33" s="3"/>
      <c r="Z33" s="3"/>
      <c r="AA33" s="3"/>
    </row>
    <row r="34">
      <c r="A34" s="20"/>
      <c r="B34" s="20"/>
      <c r="C34" s="20"/>
      <c r="D34" s="20"/>
      <c r="E34" s="20"/>
      <c r="F34" s="20"/>
      <c r="G34" s="20"/>
      <c r="H34" s="20"/>
      <c r="I34" s="3"/>
      <c r="J34" s="3"/>
      <c r="K34" s="3"/>
      <c r="L34" s="3"/>
      <c r="M34" s="3"/>
      <c r="N34" s="3"/>
      <c r="O34" s="3"/>
      <c r="P34" s="3"/>
      <c r="Q34" s="3"/>
      <c r="R34" s="3"/>
      <c r="S34" s="3"/>
      <c r="T34" s="3"/>
      <c r="U34" s="3"/>
      <c r="V34" s="3"/>
      <c r="W34" s="3"/>
      <c r="X34" s="3"/>
      <c r="Y34" s="3"/>
      <c r="Z34" s="3"/>
      <c r="AA34" s="3"/>
    </row>
    <row r="35">
      <c r="A35" s="20"/>
      <c r="B35" s="20"/>
      <c r="C35" s="20"/>
      <c r="D35" s="20"/>
      <c r="E35" s="20"/>
      <c r="F35" s="20"/>
      <c r="G35" s="20"/>
      <c r="H35" s="20"/>
      <c r="I35" s="3"/>
      <c r="J35" s="3"/>
      <c r="K35" s="3"/>
      <c r="L35" s="3"/>
      <c r="M35" s="3"/>
      <c r="N35" s="3"/>
      <c r="O35" s="3"/>
      <c r="P35" s="3"/>
      <c r="Q35" s="3"/>
      <c r="R35" s="3"/>
      <c r="S35" s="3"/>
      <c r="T35" s="3"/>
      <c r="U35" s="3"/>
      <c r="V35" s="3"/>
      <c r="W35" s="3"/>
      <c r="X35" s="3"/>
      <c r="Y35" s="3"/>
      <c r="Z35" s="3"/>
      <c r="AA35" s="3"/>
    </row>
    <row r="36">
      <c r="A36" s="20"/>
      <c r="B36" s="20"/>
      <c r="C36" s="20"/>
      <c r="D36" s="20"/>
      <c r="E36" s="20"/>
      <c r="F36" s="20"/>
      <c r="G36" s="20"/>
      <c r="H36" s="20"/>
      <c r="I36" s="3"/>
      <c r="J36" s="3"/>
      <c r="K36" s="3"/>
      <c r="L36" s="3"/>
      <c r="M36" s="3"/>
      <c r="N36" s="3"/>
      <c r="O36" s="3"/>
      <c r="P36" s="3"/>
      <c r="Q36" s="3"/>
      <c r="R36" s="3"/>
      <c r="S36" s="3"/>
      <c r="T36" s="3"/>
      <c r="U36" s="3"/>
      <c r="V36" s="3"/>
      <c r="W36" s="3"/>
      <c r="X36" s="3"/>
      <c r="Y36" s="3"/>
      <c r="Z36" s="3"/>
      <c r="AA36" s="3"/>
    </row>
    <row r="37">
      <c r="A37" s="20"/>
      <c r="B37" s="20"/>
      <c r="C37" s="20"/>
      <c r="D37" s="20"/>
      <c r="E37" s="20"/>
      <c r="F37" s="20"/>
      <c r="G37" s="20"/>
      <c r="H37" s="20"/>
      <c r="I37" s="3"/>
      <c r="J37" s="3"/>
      <c r="K37" s="3"/>
      <c r="L37" s="3"/>
      <c r="M37" s="3"/>
      <c r="N37" s="3"/>
      <c r="O37" s="3"/>
      <c r="P37" s="3"/>
      <c r="Q37" s="3"/>
      <c r="R37" s="3"/>
      <c r="S37" s="3"/>
      <c r="T37" s="3"/>
      <c r="U37" s="3"/>
      <c r="V37" s="3"/>
      <c r="W37" s="3"/>
      <c r="X37" s="3"/>
      <c r="Y37" s="3"/>
      <c r="Z37" s="3"/>
      <c r="AA37" s="3"/>
    </row>
    <row r="38">
      <c r="A38" s="19" t="s">
        <v>1478</v>
      </c>
      <c r="B38" s="19" t="s">
        <v>1411</v>
      </c>
      <c r="C38" s="20"/>
      <c r="D38" s="20"/>
      <c r="E38" s="20"/>
      <c r="F38" s="20"/>
      <c r="G38" s="20"/>
      <c r="H38" s="20"/>
      <c r="I38" s="3"/>
      <c r="J38" s="3"/>
      <c r="K38" s="3"/>
      <c r="L38" s="3"/>
      <c r="M38" s="3"/>
      <c r="N38" s="3"/>
      <c r="O38" s="3"/>
      <c r="P38" s="3"/>
      <c r="Q38" s="3"/>
      <c r="R38" s="3"/>
      <c r="S38" s="3"/>
      <c r="T38" s="3"/>
      <c r="U38" s="3"/>
      <c r="V38" s="3"/>
      <c r="W38" s="3"/>
      <c r="X38" s="3"/>
      <c r="Y38" s="3"/>
      <c r="Z38" s="3"/>
      <c r="AA38" s="3"/>
    </row>
    <row r="39">
      <c r="A39" s="19" t="s">
        <v>1479</v>
      </c>
      <c r="B39" s="19" t="s">
        <v>1427</v>
      </c>
      <c r="C39" s="20"/>
      <c r="D39" s="20"/>
      <c r="E39" s="20"/>
      <c r="F39" s="20"/>
      <c r="G39" s="20"/>
      <c r="H39" s="20"/>
      <c r="I39" s="3"/>
      <c r="J39" s="3"/>
      <c r="K39" s="3"/>
      <c r="L39" s="3"/>
      <c r="M39" s="3"/>
      <c r="N39" s="3"/>
      <c r="O39" s="3"/>
      <c r="P39" s="3"/>
      <c r="Q39" s="3"/>
      <c r="R39" s="3"/>
      <c r="S39" s="3"/>
      <c r="T39" s="3"/>
      <c r="U39" s="3"/>
      <c r="V39" s="3"/>
      <c r="W39" s="3"/>
      <c r="X39" s="3"/>
      <c r="Y39" s="3"/>
      <c r="Z39" s="3"/>
      <c r="AA39" s="3"/>
    </row>
    <row r="40">
      <c r="A40" s="19" t="s">
        <v>1480</v>
      </c>
      <c r="B40" s="19" t="s">
        <v>1440</v>
      </c>
      <c r="C40" s="20"/>
      <c r="D40" s="20"/>
      <c r="E40" s="20"/>
      <c r="F40" s="20"/>
      <c r="G40" s="20"/>
      <c r="H40" s="20"/>
      <c r="I40" s="3"/>
      <c r="J40" s="3"/>
      <c r="K40" s="3"/>
      <c r="L40" s="3"/>
      <c r="M40" s="3"/>
      <c r="N40" s="3"/>
      <c r="O40" s="3"/>
      <c r="P40" s="3"/>
      <c r="Q40" s="3"/>
      <c r="R40" s="3"/>
      <c r="S40" s="3"/>
      <c r="T40" s="3"/>
      <c r="U40" s="3"/>
      <c r="V40" s="3"/>
      <c r="W40" s="3"/>
      <c r="X40" s="3"/>
      <c r="Y40" s="3"/>
      <c r="Z40" s="3"/>
      <c r="AA40" s="3"/>
    </row>
    <row r="41">
      <c r="A41" s="19" t="s">
        <v>1481</v>
      </c>
      <c r="B41" s="19" t="s">
        <v>1450</v>
      </c>
      <c r="C41" s="20"/>
      <c r="D41" s="20"/>
      <c r="E41" s="20"/>
      <c r="F41" s="20"/>
      <c r="G41" s="20"/>
      <c r="H41" s="20"/>
      <c r="I41" s="3"/>
      <c r="J41" s="3"/>
      <c r="K41" s="3"/>
      <c r="L41" s="3"/>
      <c r="M41" s="3"/>
      <c r="N41" s="3"/>
      <c r="O41" s="3"/>
      <c r="P41" s="3"/>
      <c r="Q41" s="3"/>
      <c r="R41" s="3"/>
      <c r="S41" s="3"/>
      <c r="T41" s="3"/>
      <c r="U41" s="3"/>
      <c r="V41" s="3"/>
      <c r="W41" s="3"/>
      <c r="X41" s="3"/>
      <c r="Y41" s="3"/>
      <c r="Z41" s="3"/>
      <c r="AA41" s="3"/>
    </row>
    <row r="42">
      <c r="A42" s="19" t="s">
        <v>1482</v>
      </c>
      <c r="B42" s="19" t="s">
        <v>1469</v>
      </c>
      <c r="C42" s="20"/>
      <c r="D42" s="20"/>
      <c r="E42" s="20"/>
      <c r="F42" s="20"/>
      <c r="G42" s="20"/>
      <c r="H42" s="20"/>
      <c r="I42" s="3"/>
      <c r="J42" s="3"/>
      <c r="K42" s="3"/>
      <c r="L42" s="3"/>
      <c r="M42" s="3"/>
      <c r="N42" s="3"/>
      <c r="O42" s="3"/>
      <c r="P42" s="3"/>
      <c r="Q42" s="3"/>
      <c r="R42" s="3"/>
      <c r="S42" s="3"/>
      <c r="T42" s="3"/>
      <c r="U42" s="3"/>
      <c r="V42" s="3"/>
      <c r="W42" s="3"/>
      <c r="X42" s="3"/>
      <c r="Y42" s="3"/>
      <c r="Z42" s="3"/>
      <c r="AA42" s="3"/>
    </row>
    <row r="43">
      <c r="A43" s="20"/>
      <c r="B43" s="20"/>
      <c r="C43" s="20"/>
      <c r="D43" s="20"/>
      <c r="E43" s="20"/>
      <c r="F43" s="20"/>
      <c r="G43" s="20"/>
      <c r="H43" s="20"/>
      <c r="I43" s="3"/>
      <c r="J43" s="3"/>
      <c r="K43" s="3"/>
      <c r="L43" s="3"/>
      <c r="M43" s="3"/>
      <c r="N43" s="3"/>
      <c r="O43" s="3"/>
      <c r="P43" s="3"/>
      <c r="Q43" s="3"/>
      <c r="R43" s="3"/>
      <c r="S43" s="3"/>
      <c r="T43" s="3"/>
      <c r="U43" s="3"/>
      <c r="V43" s="3"/>
      <c r="W43" s="3"/>
      <c r="X43" s="3"/>
      <c r="Y43" s="3"/>
      <c r="Z43" s="3"/>
      <c r="AA43" s="3"/>
    </row>
    <row r="44">
      <c r="A44" s="20"/>
      <c r="B44" s="20"/>
      <c r="C44" s="20"/>
      <c r="D44" s="20"/>
      <c r="E44" s="20"/>
      <c r="F44" s="20"/>
      <c r="G44" s="20"/>
      <c r="H44" s="20"/>
      <c r="I44" s="3"/>
      <c r="J44" s="3"/>
      <c r="K44" s="3"/>
      <c r="L44" s="3"/>
      <c r="M44" s="3"/>
      <c r="N44" s="3"/>
      <c r="O44" s="3"/>
      <c r="P44" s="3"/>
      <c r="Q44" s="3"/>
      <c r="R44" s="3"/>
      <c r="S44" s="3"/>
      <c r="T44" s="3"/>
      <c r="U44" s="3"/>
      <c r="V44" s="3"/>
      <c r="W44" s="3"/>
      <c r="X44" s="3"/>
      <c r="Y44" s="3"/>
      <c r="Z44" s="3"/>
      <c r="AA44" s="3"/>
    </row>
    <row r="45">
      <c r="A45" s="20"/>
      <c r="B45" s="20"/>
      <c r="C45" s="20"/>
      <c r="D45" s="20"/>
      <c r="E45" s="20"/>
      <c r="F45" s="20"/>
      <c r="G45" s="20"/>
      <c r="H45" s="20"/>
      <c r="I45" s="3"/>
      <c r="J45" s="3"/>
      <c r="K45" s="3"/>
      <c r="L45" s="3"/>
      <c r="M45" s="3"/>
      <c r="N45" s="3"/>
      <c r="O45" s="3"/>
      <c r="P45" s="3"/>
      <c r="Q45" s="3"/>
      <c r="R45" s="3"/>
      <c r="S45" s="3"/>
      <c r="T45" s="3"/>
      <c r="U45" s="3"/>
      <c r="V45" s="3"/>
      <c r="W45" s="3"/>
      <c r="X45" s="3"/>
      <c r="Y45" s="3"/>
      <c r="Z45" s="3"/>
      <c r="AA45" s="3"/>
    </row>
    <row r="46">
      <c r="A46" s="20"/>
      <c r="B46" s="20"/>
      <c r="C46" s="20"/>
      <c r="D46" s="20"/>
      <c r="E46" s="20"/>
      <c r="F46" s="20"/>
      <c r="G46" s="20"/>
      <c r="H46" s="20"/>
      <c r="I46" s="3"/>
      <c r="J46" s="3"/>
      <c r="K46" s="3"/>
      <c r="L46" s="3"/>
      <c r="M46" s="3"/>
      <c r="N46" s="3"/>
      <c r="O46" s="3"/>
      <c r="P46" s="3"/>
      <c r="Q46" s="3"/>
      <c r="R46" s="3"/>
      <c r="S46" s="3"/>
      <c r="T46" s="3"/>
      <c r="U46" s="3"/>
      <c r="V46" s="3"/>
      <c r="W46" s="3"/>
      <c r="X46" s="3"/>
      <c r="Y46" s="3"/>
      <c r="Z46" s="3"/>
      <c r="AA46" s="3"/>
    </row>
    <row r="47">
      <c r="A47" s="20"/>
      <c r="B47" s="20"/>
      <c r="C47" s="20"/>
      <c r="D47" s="20"/>
      <c r="E47" s="20"/>
      <c r="F47" s="20"/>
      <c r="G47" s="20"/>
      <c r="H47" s="20"/>
      <c r="I47" s="3"/>
      <c r="J47" s="3"/>
      <c r="K47" s="3"/>
      <c r="L47" s="3"/>
      <c r="M47" s="3"/>
      <c r="N47" s="3"/>
      <c r="O47" s="3"/>
      <c r="P47" s="3"/>
      <c r="Q47" s="3"/>
      <c r="R47" s="3"/>
      <c r="S47" s="3"/>
      <c r="T47" s="3"/>
      <c r="U47" s="3"/>
      <c r="V47" s="3"/>
      <c r="W47" s="3"/>
      <c r="X47" s="3"/>
      <c r="Y47" s="3"/>
      <c r="Z47" s="3"/>
      <c r="AA47" s="3"/>
    </row>
    <row r="48">
      <c r="A48" s="20"/>
      <c r="B48" s="20"/>
      <c r="C48" s="20"/>
      <c r="D48" s="20"/>
      <c r="E48" s="20"/>
      <c r="F48" s="20"/>
      <c r="G48" s="20"/>
      <c r="H48" s="20"/>
      <c r="I48" s="3"/>
      <c r="J48" s="3"/>
      <c r="K48" s="3"/>
      <c r="L48" s="3"/>
      <c r="M48" s="3"/>
      <c r="N48" s="3"/>
      <c r="O48" s="3"/>
      <c r="P48" s="3"/>
      <c r="Q48" s="3"/>
      <c r="R48" s="3"/>
      <c r="S48" s="3"/>
      <c r="T48" s="3"/>
      <c r="U48" s="3"/>
      <c r="V48" s="3"/>
      <c r="W48" s="3"/>
      <c r="X48" s="3"/>
      <c r="Y48" s="3"/>
      <c r="Z48" s="3"/>
      <c r="AA48" s="3"/>
    </row>
    <row r="49">
      <c r="A49" s="20"/>
      <c r="B49" s="20"/>
      <c r="C49" s="20"/>
      <c r="D49" s="20"/>
      <c r="E49" s="20"/>
      <c r="F49" s="20"/>
      <c r="G49" s="20"/>
      <c r="H49" s="20"/>
      <c r="I49" s="3"/>
      <c r="J49" s="3"/>
      <c r="K49" s="3"/>
      <c r="L49" s="3"/>
      <c r="M49" s="3"/>
      <c r="N49" s="3"/>
      <c r="O49" s="3"/>
      <c r="P49" s="3"/>
      <c r="Q49" s="3"/>
      <c r="R49" s="3"/>
      <c r="S49" s="3"/>
      <c r="T49" s="3"/>
      <c r="U49" s="3"/>
      <c r="V49" s="3"/>
      <c r="W49" s="3"/>
      <c r="X49" s="3"/>
      <c r="Y49" s="3"/>
      <c r="Z49" s="3"/>
      <c r="AA49" s="3"/>
    </row>
    <row r="50">
      <c r="A50" s="20"/>
      <c r="B50" s="20"/>
      <c r="C50" s="20"/>
      <c r="D50" s="20"/>
      <c r="E50" s="20"/>
      <c r="F50" s="20"/>
      <c r="G50" s="20"/>
      <c r="H50" s="20"/>
      <c r="I50" s="3"/>
      <c r="J50" s="3"/>
      <c r="K50" s="3"/>
      <c r="L50" s="3"/>
      <c r="M50" s="3"/>
      <c r="N50" s="3"/>
      <c r="O50" s="3"/>
      <c r="P50" s="3"/>
      <c r="Q50" s="3"/>
      <c r="R50" s="3"/>
      <c r="S50" s="3"/>
      <c r="T50" s="3"/>
      <c r="U50" s="3"/>
      <c r="V50" s="3"/>
      <c r="W50" s="3"/>
      <c r="X50" s="3"/>
      <c r="Y50" s="3"/>
      <c r="Z50" s="3"/>
      <c r="AA50" s="3"/>
    </row>
    <row r="51">
      <c r="A51" s="20"/>
      <c r="B51" s="20"/>
      <c r="C51" s="20"/>
      <c r="D51" s="20"/>
      <c r="E51" s="20"/>
      <c r="F51" s="20"/>
      <c r="G51" s="20"/>
      <c r="H51" s="20"/>
      <c r="I51" s="3"/>
      <c r="J51" s="3"/>
      <c r="K51" s="3"/>
      <c r="L51" s="3"/>
      <c r="M51" s="3"/>
      <c r="N51" s="3"/>
      <c r="O51" s="3"/>
      <c r="P51" s="3"/>
      <c r="Q51" s="3"/>
      <c r="R51" s="3"/>
      <c r="S51" s="3"/>
      <c r="T51" s="3"/>
      <c r="U51" s="3"/>
      <c r="V51" s="3"/>
      <c r="W51" s="3"/>
      <c r="X51" s="3"/>
      <c r="Y51" s="3"/>
      <c r="Z51" s="3"/>
      <c r="AA51" s="3"/>
    </row>
    <row r="52">
      <c r="A52" s="20"/>
      <c r="B52" s="20"/>
      <c r="C52" s="20"/>
      <c r="D52" s="20"/>
      <c r="E52" s="20"/>
      <c r="F52" s="20"/>
      <c r="G52" s="20"/>
      <c r="H52" s="20"/>
      <c r="I52" s="3"/>
      <c r="J52" s="3"/>
      <c r="K52" s="3"/>
      <c r="L52" s="3"/>
      <c r="M52" s="3"/>
      <c r="N52" s="3"/>
      <c r="O52" s="3"/>
      <c r="P52" s="3"/>
      <c r="Q52" s="3"/>
      <c r="R52" s="3"/>
      <c r="S52" s="3"/>
      <c r="T52" s="3"/>
      <c r="U52" s="3"/>
      <c r="V52" s="3"/>
      <c r="W52" s="3"/>
      <c r="X52" s="3"/>
      <c r="Y52" s="3"/>
      <c r="Z52" s="3"/>
      <c r="AA52" s="3"/>
    </row>
    <row r="53">
      <c r="A53" s="20"/>
      <c r="B53" s="20"/>
      <c r="C53" s="20"/>
      <c r="D53" s="20"/>
      <c r="E53" s="20"/>
      <c r="F53" s="20"/>
      <c r="G53" s="20"/>
      <c r="H53" s="20"/>
      <c r="I53" s="3"/>
      <c r="J53" s="3"/>
      <c r="K53" s="3"/>
      <c r="L53" s="3"/>
      <c r="M53" s="3"/>
      <c r="N53" s="3"/>
      <c r="O53" s="3"/>
      <c r="P53" s="3"/>
      <c r="Q53" s="3"/>
      <c r="R53" s="3"/>
      <c r="S53" s="3"/>
      <c r="T53" s="3"/>
      <c r="U53" s="3"/>
      <c r="V53" s="3"/>
      <c r="W53" s="3"/>
      <c r="X53" s="3"/>
      <c r="Y53" s="3"/>
      <c r="Z53" s="3"/>
      <c r="AA53" s="3"/>
    </row>
    <row r="54">
      <c r="A54" s="20"/>
      <c r="B54" s="20"/>
      <c r="C54" s="20"/>
      <c r="D54" s="20"/>
      <c r="E54" s="20"/>
      <c r="F54" s="20"/>
      <c r="G54" s="20"/>
      <c r="H54" s="20"/>
      <c r="I54" s="3"/>
      <c r="J54" s="3"/>
      <c r="K54" s="3"/>
      <c r="L54" s="3"/>
      <c r="M54" s="3"/>
      <c r="N54" s="3"/>
      <c r="O54" s="3"/>
      <c r="P54" s="3"/>
      <c r="Q54" s="3"/>
      <c r="R54" s="3"/>
      <c r="S54" s="3"/>
      <c r="T54" s="3"/>
      <c r="U54" s="3"/>
      <c r="V54" s="3"/>
      <c r="W54" s="3"/>
      <c r="X54" s="3"/>
      <c r="Y54" s="3"/>
      <c r="Z54" s="3"/>
      <c r="AA54" s="3"/>
    </row>
    <row r="55">
      <c r="A55" s="20"/>
      <c r="B55" s="20"/>
      <c r="C55" s="20"/>
      <c r="D55" s="20"/>
      <c r="E55" s="20"/>
      <c r="F55" s="20"/>
      <c r="G55" s="20"/>
      <c r="H55" s="20"/>
      <c r="I55" s="3"/>
      <c r="J55" s="3"/>
      <c r="K55" s="3"/>
      <c r="L55" s="3"/>
      <c r="M55" s="3"/>
      <c r="N55" s="3"/>
      <c r="O55" s="3"/>
      <c r="P55" s="3"/>
      <c r="Q55" s="3"/>
      <c r="R55" s="3"/>
      <c r="S55" s="3"/>
      <c r="T55" s="3"/>
      <c r="U55" s="3"/>
      <c r="V55" s="3"/>
      <c r="W55" s="3"/>
      <c r="X55" s="3"/>
      <c r="Y55" s="3"/>
      <c r="Z55" s="3"/>
      <c r="AA55" s="3"/>
    </row>
    <row r="56">
      <c r="A56" s="20"/>
      <c r="B56" s="20"/>
      <c r="C56" s="20"/>
      <c r="D56" s="20"/>
      <c r="E56" s="20"/>
      <c r="F56" s="20"/>
      <c r="G56" s="20"/>
      <c r="H56" s="20"/>
      <c r="I56" s="3"/>
      <c r="J56" s="3"/>
      <c r="K56" s="3"/>
      <c r="L56" s="3"/>
      <c r="M56" s="3"/>
      <c r="N56" s="3"/>
      <c r="O56" s="3"/>
      <c r="P56" s="3"/>
      <c r="Q56" s="3"/>
      <c r="R56" s="3"/>
      <c r="S56" s="3"/>
      <c r="T56" s="3"/>
      <c r="U56" s="3"/>
      <c r="V56" s="3"/>
      <c r="W56" s="3"/>
      <c r="X56" s="3"/>
      <c r="Y56" s="3"/>
      <c r="Z56" s="3"/>
      <c r="AA56" s="3"/>
    </row>
    <row r="57">
      <c r="A57" s="20"/>
      <c r="B57" s="20"/>
      <c r="C57" s="20"/>
      <c r="D57" s="20"/>
      <c r="E57" s="20"/>
      <c r="F57" s="20"/>
      <c r="G57" s="20"/>
      <c r="H57" s="20"/>
      <c r="I57" s="3"/>
      <c r="J57" s="3"/>
      <c r="K57" s="3"/>
      <c r="L57" s="3"/>
      <c r="M57" s="3"/>
      <c r="N57" s="3"/>
      <c r="O57" s="3"/>
      <c r="P57" s="3"/>
      <c r="Q57" s="3"/>
      <c r="R57" s="3"/>
      <c r="S57" s="3"/>
      <c r="T57" s="3"/>
      <c r="U57" s="3"/>
      <c r="V57" s="3"/>
      <c r="W57" s="3"/>
      <c r="X57" s="3"/>
      <c r="Y57" s="3"/>
      <c r="Z57" s="3"/>
      <c r="AA57" s="3"/>
    </row>
    <row r="58">
      <c r="A58" s="20"/>
      <c r="B58" s="20"/>
      <c r="C58" s="20"/>
      <c r="D58" s="20"/>
      <c r="E58" s="20"/>
      <c r="F58" s="20"/>
      <c r="G58" s="20"/>
      <c r="H58" s="20"/>
      <c r="I58" s="3"/>
      <c r="J58" s="3"/>
      <c r="K58" s="3"/>
      <c r="L58" s="3"/>
      <c r="M58" s="3"/>
      <c r="N58" s="3"/>
      <c r="O58" s="3"/>
      <c r="P58" s="3"/>
      <c r="Q58" s="3"/>
      <c r="R58" s="3"/>
      <c r="S58" s="3"/>
      <c r="T58" s="3"/>
      <c r="U58" s="3"/>
      <c r="V58" s="3"/>
      <c r="W58" s="3"/>
      <c r="X58" s="3"/>
      <c r="Y58" s="3"/>
      <c r="Z58" s="3"/>
      <c r="AA58" s="3"/>
    </row>
    <row r="59">
      <c r="A59" s="20"/>
      <c r="B59" s="20"/>
      <c r="C59" s="20"/>
      <c r="D59" s="20"/>
      <c r="E59" s="20"/>
      <c r="F59" s="20"/>
      <c r="G59" s="20"/>
      <c r="H59" s="20"/>
      <c r="I59" s="3"/>
      <c r="J59" s="3"/>
      <c r="K59" s="3"/>
      <c r="L59" s="3"/>
      <c r="M59" s="3"/>
      <c r="N59" s="3"/>
      <c r="O59" s="3"/>
      <c r="P59" s="3"/>
      <c r="Q59" s="3"/>
      <c r="R59" s="3"/>
      <c r="S59" s="3"/>
      <c r="T59" s="3"/>
      <c r="U59" s="3"/>
      <c r="V59" s="3"/>
      <c r="W59" s="3"/>
      <c r="X59" s="3"/>
      <c r="Y59" s="3"/>
      <c r="Z59" s="3"/>
      <c r="AA59" s="3"/>
    </row>
    <row r="60">
      <c r="A60" s="20"/>
      <c r="B60" s="20"/>
      <c r="C60" s="20"/>
      <c r="D60" s="20"/>
      <c r="E60" s="20"/>
      <c r="F60" s="20"/>
      <c r="G60" s="20"/>
      <c r="H60" s="20"/>
      <c r="I60" s="3"/>
      <c r="J60" s="3"/>
      <c r="K60" s="3"/>
      <c r="L60" s="3"/>
      <c r="M60" s="3"/>
      <c r="N60" s="3"/>
      <c r="O60" s="3"/>
      <c r="P60" s="3"/>
      <c r="Q60" s="3"/>
      <c r="R60" s="3"/>
      <c r="S60" s="3"/>
      <c r="T60" s="3"/>
      <c r="U60" s="3"/>
      <c r="V60" s="3"/>
      <c r="W60" s="3"/>
      <c r="X60" s="3"/>
      <c r="Y60" s="3"/>
      <c r="Z60" s="3"/>
      <c r="AA60" s="3"/>
    </row>
    <row r="61">
      <c r="A61" s="20"/>
      <c r="B61" s="20"/>
      <c r="C61" s="20"/>
      <c r="D61" s="20"/>
      <c r="E61" s="20"/>
      <c r="F61" s="20"/>
      <c r="G61" s="20"/>
      <c r="H61" s="20"/>
      <c r="I61" s="3"/>
      <c r="J61" s="3"/>
      <c r="K61" s="3"/>
      <c r="L61" s="3"/>
      <c r="M61" s="3"/>
      <c r="N61" s="3"/>
      <c r="O61" s="3"/>
      <c r="P61" s="3"/>
      <c r="Q61" s="3"/>
      <c r="R61" s="3"/>
      <c r="S61" s="3"/>
      <c r="T61" s="3"/>
      <c r="U61" s="3"/>
      <c r="V61" s="3"/>
      <c r="W61" s="3"/>
      <c r="X61" s="3"/>
      <c r="Y61" s="3"/>
      <c r="Z61" s="3"/>
      <c r="AA61" s="3"/>
    </row>
    <row r="62">
      <c r="A62" s="20"/>
      <c r="B62" s="20"/>
      <c r="C62" s="20"/>
      <c r="D62" s="20"/>
      <c r="E62" s="20"/>
      <c r="F62" s="20"/>
      <c r="G62" s="20"/>
      <c r="H62" s="20"/>
      <c r="I62" s="3"/>
      <c r="J62" s="3"/>
      <c r="K62" s="3"/>
      <c r="L62" s="3"/>
      <c r="M62" s="3"/>
      <c r="N62" s="3"/>
      <c r="O62" s="3"/>
      <c r="P62" s="3"/>
      <c r="Q62" s="3"/>
      <c r="R62" s="3"/>
      <c r="S62" s="3"/>
      <c r="T62" s="3"/>
      <c r="U62" s="3"/>
      <c r="V62" s="3"/>
      <c r="W62" s="3"/>
      <c r="X62" s="3"/>
      <c r="Y62" s="3"/>
      <c r="Z62" s="3"/>
      <c r="AA62" s="3"/>
    </row>
    <row r="63">
      <c r="A63" s="20"/>
      <c r="B63" s="20"/>
      <c r="C63" s="20"/>
      <c r="D63" s="20"/>
      <c r="E63" s="20"/>
      <c r="F63" s="20"/>
      <c r="G63" s="20"/>
      <c r="H63" s="20"/>
      <c r="I63" s="3"/>
      <c r="J63" s="3"/>
      <c r="K63" s="3"/>
      <c r="L63" s="3"/>
      <c r="M63" s="3"/>
      <c r="N63" s="3"/>
      <c r="O63" s="3"/>
      <c r="P63" s="3"/>
      <c r="Q63" s="3"/>
      <c r="R63" s="3"/>
      <c r="S63" s="3"/>
      <c r="T63" s="3"/>
      <c r="U63" s="3"/>
      <c r="V63" s="3"/>
      <c r="W63" s="3"/>
      <c r="X63" s="3"/>
      <c r="Y63" s="3"/>
      <c r="Z63" s="3"/>
      <c r="AA63" s="3"/>
    </row>
    <row r="64">
      <c r="A64" s="20"/>
      <c r="B64" s="20"/>
      <c r="C64" s="20"/>
      <c r="D64" s="20"/>
      <c r="E64" s="20"/>
      <c r="F64" s="20"/>
      <c r="G64" s="20"/>
      <c r="H64" s="20"/>
      <c r="I64" s="3"/>
      <c r="J64" s="3"/>
      <c r="K64" s="3"/>
      <c r="L64" s="3"/>
      <c r="M64" s="3"/>
      <c r="N64" s="3"/>
      <c r="O64" s="3"/>
      <c r="P64" s="3"/>
      <c r="Q64" s="3"/>
      <c r="R64" s="3"/>
      <c r="S64" s="3"/>
      <c r="T64" s="3"/>
      <c r="U64" s="3"/>
      <c r="V64" s="3"/>
      <c r="W64" s="3"/>
      <c r="X64" s="3"/>
      <c r="Y64" s="3"/>
      <c r="Z64" s="3"/>
      <c r="AA64" s="3"/>
    </row>
    <row r="65">
      <c r="A65" s="20"/>
      <c r="B65" s="20"/>
      <c r="C65" s="20"/>
      <c r="D65" s="20"/>
      <c r="E65" s="20"/>
      <c r="F65" s="20"/>
      <c r="G65" s="20"/>
      <c r="H65" s="20"/>
      <c r="I65" s="3"/>
      <c r="J65" s="3"/>
      <c r="K65" s="3"/>
      <c r="L65" s="3"/>
      <c r="M65" s="3"/>
      <c r="N65" s="3"/>
      <c r="O65" s="3"/>
      <c r="P65" s="3"/>
      <c r="Q65" s="3"/>
      <c r="R65" s="3"/>
      <c r="S65" s="3"/>
      <c r="T65" s="3"/>
      <c r="U65" s="3"/>
      <c r="V65" s="3"/>
      <c r="W65" s="3"/>
      <c r="X65" s="3"/>
      <c r="Y65" s="3"/>
      <c r="Z65" s="3"/>
      <c r="AA65" s="3"/>
    </row>
    <row r="66">
      <c r="A66" s="20"/>
      <c r="B66" s="20"/>
      <c r="C66" s="20"/>
      <c r="D66" s="20"/>
      <c r="E66" s="20"/>
      <c r="F66" s="20"/>
      <c r="G66" s="20"/>
      <c r="H66" s="20"/>
      <c r="I66" s="3"/>
      <c r="J66" s="3"/>
      <c r="K66" s="3"/>
      <c r="L66" s="3"/>
      <c r="M66" s="3"/>
      <c r="N66" s="3"/>
      <c r="O66" s="3"/>
      <c r="P66" s="3"/>
      <c r="Q66" s="3"/>
      <c r="R66" s="3"/>
      <c r="S66" s="3"/>
      <c r="T66" s="3"/>
      <c r="U66" s="3"/>
      <c r="V66" s="3"/>
      <c r="W66" s="3"/>
      <c r="X66" s="3"/>
      <c r="Y66" s="3"/>
      <c r="Z66" s="3"/>
      <c r="AA66" s="3"/>
    </row>
    <row r="67">
      <c r="A67" s="20"/>
      <c r="B67" s="20"/>
      <c r="C67" s="20"/>
      <c r="D67" s="20"/>
      <c r="E67" s="20"/>
      <c r="F67" s="20"/>
      <c r="G67" s="20"/>
      <c r="H67" s="20"/>
      <c r="I67" s="3"/>
      <c r="J67" s="3"/>
      <c r="K67" s="3"/>
      <c r="L67" s="3"/>
      <c r="M67" s="3"/>
      <c r="N67" s="3"/>
      <c r="O67" s="3"/>
      <c r="P67" s="3"/>
      <c r="Q67" s="3"/>
      <c r="R67" s="3"/>
      <c r="S67" s="3"/>
      <c r="T67" s="3"/>
      <c r="U67" s="3"/>
      <c r="V67" s="3"/>
      <c r="W67" s="3"/>
      <c r="X67" s="3"/>
      <c r="Y67" s="3"/>
      <c r="Z67" s="3"/>
      <c r="AA67" s="3"/>
    </row>
    <row r="68">
      <c r="A68" s="20"/>
      <c r="B68" s="20"/>
      <c r="C68" s="20"/>
      <c r="D68" s="20"/>
      <c r="E68" s="20"/>
      <c r="F68" s="20"/>
      <c r="G68" s="20"/>
      <c r="H68" s="20"/>
      <c r="I68" s="3"/>
      <c r="J68" s="3"/>
      <c r="K68" s="3"/>
      <c r="L68" s="3"/>
      <c r="M68" s="3"/>
      <c r="N68" s="3"/>
      <c r="O68" s="3"/>
      <c r="P68" s="3"/>
      <c r="Q68" s="3"/>
      <c r="R68" s="3"/>
      <c r="S68" s="3"/>
      <c r="T68" s="3"/>
      <c r="U68" s="3"/>
      <c r="V68" s="3"/>
      <c r="W68" s="3"/>
      <c r="X68" s="3"/>
      <c r="Y68" s="3"/>
      <c r="Z68" s="3"/>
      <c r="AA68" s="3"/>
    </row>
    <row r="69">
      <c r="A69" s="20"/>
      <c r="B69" s="20"/>
      <c r="C69" s="20"/>
      <c r="D69" s="20"/>
      <c r="E69" s="20"/>
      <c r="F69" s="20"/>
      <c r="G69" s="20"/>
      <c r="H69" s="20"/>
      <c r="I69" s="3"/>
      <c r="J69" s="3"/>
      <c r="K69" s="3"/>
      <c r="L69" s="3"/>
      <c r="M69" s="3"/>
      <c r="N69" s="3"/>
      <c r="O69" s="3"/>
      <c r="P69" s="3"/>
      <c r="Q69" s="3"/>
      <c r="R69" s="3"/>
      <c r="S69" s="3"/>
      <c r="T69" s="3"/>
      <c r="U69" s="3"/>
      <c r="V69" s="3"/>
      <c r="W69" s="3"/>
      <c r="X69" s="3"/>
      <c r="Y69" s="3"/>
      <c r="Z69" s="3"/>
      <c r="AA69" s="3"/>
    </row>
    <row r="70">
      <c r="A70" s="20"/>
      <c r="B70" s="20"/>
      <c r="C70" s="20"/>
      <c r="D70" s="20"/>
      <c r="E70" s="20"/>
      <c r="F70" s="20"/>
      <c r="G70" s="20"/>
      <c r="H70" s="20"/>
      <c r="I70" s="3"/>
      <c r="J70" s="3"/>
      <c r="K70" s="3"/>
      <c r="L70" s="3"/>
      <c r="M70" s="3"/>
      <c r="N70" s="3"/>
      <c r="O70" s="3"/>
      <c r="P70" s="3"/>
      <c r="Q70" s="3"/>
      <c r="R70" s="3"/>
      <c r="S70" s="3"/>
      <c r="T70" s="3"/>
      <c r="U70" s="3"/>
      <c r="V70" s="3"/>
      <c r="W70" s="3"/>
      <c r="X70" s="3"/>
      <c r="Y70" s="3"/>
      <c r="Z70" s="3"/>
      <c r="AA70" s="3"/>
    </row>
    <row r="71">
      <c r="A71" s="20"/>
      <c r="B71" s="20"/>
      <c r="C71" s="20"/>
      <c r="D71" s="20"/>
      <c r="E71" s="20"/>
      <c r="F71" s="20"/>
      <c r="G71" s="20"/>
      <c r="H71" s="20"/>
      <c r="I71" s="3"/>
      <c r="J71" s="3"/>
      <c r="K71" s="3"/>
      <c r="L71" s="3"/>
      <c r="M71" s="3"/>
      <c r="N71" s="3"/>
      <c r="O71" s="3"/>
      <c r="P71" s="3"/>
      <c r="Q71" s="3"/>
      <c r="R71" s="3"/>
      <c r="S71" s="3"/>
      <c r="T71" s="3"/>
      <c r="U71" s="3"/>
      <c r="V71" s="3"/>
      <c r="W71" s="3"/>
      <c r="X71" s="3"/>
      <c r="Y71" s="3"/>
      <c r="Z71" s="3"/>
      <c r="AA71" s="3"/>
    </row>
    <row r="72">
      <c r="A72" s="20"/>
      <c r="B72" s="20"/>
      <c r="C72" s="20"/>
      <c r="D72" s="20"/>
      <c r="E72" s="20"/>
      <c r="F72" s="20"/>
      <c r="G72" s="20"/>
      <c r="H72" s="20"/>
      <c r="I72" s="3"/>
      <c r="J72" s="3"/>
      <c r="K72" s="3"/>
      <c r="L72" s="3"/>
      <c r="M72" s="3"/>
      <c r="N72" s="3"/>
      <c r="O72" s="3"/>
      <c r="P72" s="3"/>
      <c r="Q72" s="3"/>
      <c r="R72" s="3"/>
      <c r="S72" s="3"/>
      <c r="T72" s="3"/>
      <c r="U72" s="3"/>
      <c r="V72" s="3"/>
      <c r="W72" s="3"/>
      <c r="X72" s="3"/>
      <c r="Y72" s="3"/>
      <c r="Z72" s="3"/>
      <c r="AA72" s="3"/>
    </row>
    <row r="73">
      <c r="A73" s="20"/>
      <c r="B73" s="20"/>
      <c r="C73" s="20"/>
      <c r="D73" s="20"/>
      <c r="E73" s="20"/>
      <c r="F73" s="20"/>
      <c r="G73" s="20"/>
      <c r="H73" s="20"/>
      <c r="I73" s="3"/>
      <c r="J73" s="3"/>
      <c r="K73" s="3"/>
      <c r="L73" s="3"/>
      <c r="M73" s="3"/>
      <c r="N73" s="3"/>
      <c r="O73" s="3"/>
      <c r="P73" s="3"/>
      <c r="Q73" s="3"/>
      <c r="R73" s="3"/>
      <c r="S73" s="3"/>
      <c r="T73" s="3"/>
      <c r="U73" s="3"/>
      <c r="V73" s="3"/>
      <c r="W73" s="3"/>
      <c r="X73" s="3"/>
      <c r="Y73" s="3"/>
      <c r="Z73" s="3"/>
      <c r="AA73" s="3"/>
    </row>
    <row r="74">
      <c r="A74" s="20"/>
      <c r="B74" s="20"/>
      <c r="C74" s="20"/>
      <c r="D74" s="20"/>
      <c r="E74" s="20"/>
      <c r="F74" s="20"/>
      <c r="G74" s="20"/>
      <c r="H74" s="20"/>
      <c r="I74" s="3"/>
      <c r="J74" s="3"/>
      <c r="K74" s="3"/>
      <c r="L74" s="3"/>
      <c r="M74" s="3"/>
      <c r="N74" s="3"/>
      <c r="O74" s="3"/>
      <c r="P74" s="3"/>
      <c r="Q74" s="3"/>
      <c r="R74" s="3"/>
      <c r="S74" s="3"/>
      <c r="T74" s="3"/>
      <c r="U74" s="3"/>
      <c r="V74" s="3"/>
      <c r="W74" s="3"/>
      <c r="X74" s="3"/>
      <c r="Y74" s="3"/>
      <c r="Z74" s="3"/>
      <c r="AA74" s="3"/>
    </row>
    <row r="75">
      <c r="A75" s="20"/>
      <c r="B75" s="20"/>
      <c r="C75" s="20"/>
      <c r="D75" s="20"/>
      <c r="E75" s="20"/>
      <c r="F75" s="20"/>
      <c r="G75" s="20"/>
      <c r="H75" s="20"/>
      <c r="I75" s="3"/>
      <c r="J75" s="3"/>
      <c r="K75" s="3"/>
      <c r="L75" s="3"/>
      <c r="M75" s="3"/>
      <c r="N75" s="3"/>
      <c r="O75" s="3"/>
      <c r="P75" s="3"/>
      <c r="Q75" s="3"/>
      <c r="R75" s="3"/>
      <c r="S75" s="3"/>
      <c r="T75" s="3"/>
      <c r="U75" s="3"/>
      <c r="V75" s="3"/>
      <c r="W75" s="3"/>
      <c r="X75" s="3"/>
      <c r="Y75" s="3"/>
      <c r="Z75" s="3"/>
      <c r="AA75" s="3"/>
    </row>
    <row r="76">
      <c r="A76" s="20"/>
      <c r="B76" s="20"/>
      <c r="C76" s="20"/>
      <c r="D76" s="20"/>
      <c r="E76" s="20"/>
      <c r="F76" s="20"/>
      <c r="G76" s="20"/>
      <c r="H76" s="20"/>
      <c r="I76" s="3"/>
      <c r="J76" s="3"/>
      <c r="K76" s="3"/>
      <c r="L76" s="3"/>
      <c r="M76" s="3"/>
      <c r="N76" s="3"/>
      <c r="O76" s="3"/>
      <c r="P76" s="3"/>
      <c r="Q76" s="3"/>
      <c r="R76" s="3"/>
      <c r="S76" s="3"/>
      <c r="T76" s="3"/>
      <c r="U76" s="3"/>
      <c r="V76" s="3"/>
      <c r="W76" s="3"/>
      <c r="X76" s="3"/>
      <c r="Y76" s="3"/>
      <c r="Z76" s="3"/>
      <c r="AA76" s="3"/>
    </row>
    <row r="77">
      <c r="A77" s="20"/>
      <c r="B77" s="20"/>
      <c r="C77" s="20"/>
      <c r="D77" s="20"/>
      <c r="E77" s="20"/>
      <c r="F77" s="20"/>
      <c r="G77" s="20"/>
      <c r="H77" s="20"/>
      <c r="I77" s="3"/>
      <c r="J77" s="3"/>
      <c r="K77" s="3"/>
      <c r="L77" s="3"/>
      <c r="M77" s="3"/>
      <c r="N77" s="3"/>
      <c r="O77" s="3"/>
      <c r="P77" s="3"/>
      <c r="Q77" s="3"/>
      <c r="R77" s="3"/>
      <c r="S77" s="3"/>
      <c r="T77" s="3"/>
      <c r="U77" s="3"/>
      <c r="V77" s="3"/>
      <c r="W77" s="3"/>
      <c r="X77" s="3"/>
      <c r="Y77" s="3"/>
      <c r="Z77" s="3"/>
      <c r="AA77" s="3"/>
    </row>
    <row r="78">
      <c r="A78" s="20"/>
      <c r="B78" s="20"/>
      <c r="C78" s="20"/>
      <c r="D78" s="20"/>
      <c r="E78" s="20"/>
      <c r="F78" s="20"/>
      <c r="G78" s="20"/>
      <c r="H78" s="20"/>
      <c r="I78" s="3"/>
      <c r="J78" s="3"/>
      <c r="K78" s="3"/>
      <c r="L78" s="3"/>
      <c r="M78" s="3"/>
      <c r="N78" s="3"/>
      <c r="O78" s="3"/>
      <c r="P78" s="3"/>
      <c r="Q78" s="3"/>
      <c r="R78" s="3"/>
      <c r="S78" s="3"/>
      <c r="T78" s="3"/>
      <c r="U78" s="3"/>
      <c r="V78" s="3"/>
      <c r="W78" s="3"/>
      <c r="X78" s="3"/>
      <c r="Y78" s="3"/>
      <c r="Z78" s="3"/>
      <c r="AA78" s="3"/>
    </row>
    <row r="79">
      <c r="A79" s="20"/>
      <c r="B79" s="20"/>
      <c r="C79" s="20"/>
      <c r="D79" s="20"/>
      <c r="E79" s="20"/>
      <c r="F79" s="20"/>
      <c r="G79" s="20"/>
      <c r="H79" s="20"/>
      <c r="I79" s="3"/>
      <c r="J79" s="3"/>
      <c r="K79" s="3"/>
      <c r="L79" s="3"/>
      <c r="M79" s="3"/>
      <c r="N79" s="3"/>
      <c r="O79" s="3"/>
      <c r="P79" s="3"/>
      <c r="Q79" s="3"/>
      <c r="R79" s="3"/>
      <c r="S79" s="3"/>
      <c r="T79" s="3"/>
      <c r="U79" s="3"/>
      <c r="V79" s="3"/>
      <c r="W79" s="3"/>
      <c r="X79" s="3"/>
      <c r="Y79" s="3"/>
      <c r="Z79" s="3"/>
      <c r="AA79" s="3"/>
    </row>
    <row r="80">
      <c r="A80" s="20"/>
      <c r="B80" s="20"/>
      <c r="C80" s="20"/>
      <c r="D80" s="20"/>
      <c r="E80" s="20"/>
      <c r="F80" s="20"/>
      <c r="G80" s="20"/>
      <c r="H80" s="20"/>
      <c r="I80" s="3"/>
      <c r="J80" s="3"/>
      <c r="K80" s="3"/>
      <c r="L80" s="3"/>
      <c r="M80" s="3"/>
      <c r="N80" s="3"/>
      <c r="O80" s="3"/>
      <c r="P80" s="3"/>
      <c r="Q80" s="3"/>
      <c r="R80" s="3"/>
      <c r="S80" s="3"/>
      <c r="T80" s="3"/>
      <c r="U80" s="3"/>
      <c r="V80" s="3"/>
      <c r="W80" s="3"/>
      <c r="X80" s="3"/>
      <c r="Y80" s="3"/>
      <c r="Z80" s="3"/>
      <c r="AA80" s="3"/>
    </row>
    <row r="81">
      <c r="A81" s="20"/>
      <c r="B81" s="20"/>
      <c r="C81" s="20"/>
      <c r="D81" s="20"/>
      <c r="E81" s="20"/>
      <c r="F81" s="20"/>
      <c r="G81" s="20"/>
      <c r="H81" s="20"/>
      <c r="I81" s="3"/>
      <c r="J81" s="3"/>
      <c r="K81" s="3"/>
      <c r="L81" s="3"/>
      <c r="M81" s="3"/>
      <c r="N81" s="3"/>
      <c r="O81" s="3"/>
      <c r="P81" s="3"/>
      <c r="Q81" s="3"/>
      <c r="R81" s="3"/>
      <c r="S81" s="3"/>
      <c r="T81" s="3"/>
      <c r="U81" s="3"/>
      <c r="V81" s="3"/>
      <c r="W81" s="3"/>
      <c r="X81" s="3"/>
      <c r="Y81" s="3"/>
      <c r="Z81" s="3"/>
      <c r="AA81" s="3"/>
    </row>
    <row r="82">
      <c r="A82" s="20"/>
      <c r="B82" s="20"/>
      <c r="C82" s="20"/>
      <c r="D82" s="20"/>
      <c r="E82" s="20"/>
      <c r="F82" s="20"/>
      <c r="G82" s="20"/>
      <c r="H82" s="20"/>
      <c r="I82" s="3"/>
      <c r="J82" s="3"/>
      <c r="K82" s="3"/>
      <c r="L82" s="3"/>
      <c r="M82" s="3"/>
      <c r="N82" s="3"/>
      <c r="O82" s="3"/>
      <c r="P82" s="3"/>
      <c r="Q82" s="3"/>
      <c r="R82" s="3"/>
      <c r="S82" s="3"/>
      <c r="T82" s="3"/>
      <c r="U82" s="3"/>
      <c r="V82" s="3"/>
      <c r="W82" s="3"/>
      <c r="X82" s="3"/>
      <c r="Y82" s="3"/>
      <c r="Z82" s="3"/>
      <c r="AA82" s="3"/>
    </row>
    <row r="83">
      <c r="A83" s="20"/>
      <c r="B83" s="20"/>
      <c r="C83" s="20"/>
      <c r="D83" s="20"/>
      <c r="E83" s="20"/>
      <c r="F83" s="20"/>
      <c r="G83" s="20"/>
      <c r="H83" s="20"/>
      <c r="I83" s="3"/>
      <c r="J83" s="3"/>
      <c r="K83" s="3"/>
      <c r="L83" s="3"/>
      <c r="M83" s="3"/>
      <c r="N83" s="3"/>
      <c r="O83" s="3"/>
      <c r="P83" s="3"/>
      <c r="Q83" s="3"/>
      <c r="R83" s="3"/>
      <c r="S83" s="3"/>
      <c r="T83" s="3"/>
      <c r="U83" s="3"/>
      <c r="V83" s="3"/>
      <c r="W83" s="3"/>
      <c r="X83" s="3"/>
      <c r="Y83" s="3"/>
      <c r="Z83" s="3"/>
      <c r="AA83" s="3"/>
    </row>
    <row r="84">
      <c r="A84" s="20"/>
      <c r="B84" s="20"/>
      <c r="C84" s="20"/>
      <c r="D84" s="20"/>
      <c r="E84" s="20"/>
      <c r="F84" s="20"/>
      <c r="G84" s="20"/>
      <c r="H84" s="20"/>
      <c r="I84" s="3"/>
      <c r="J84" s="3"/>
      <c r="K84" s="3"/>
      <c r="L84" s="3"/>
      <c r="M84" s="3"/>
      <c r="N84" s="3"/>
      <c r="O84" s="3"/>
      <c r="P84" s="3"/>
      <c r="Q84" s="3"/>
      <c r="R84" s="3"/>
      <c r="S84" s="3"/>
      <c r="T84" s="3"/>
      <c r="U84" s="3"/>
      <c r="V84" s="3"/>
      <c r="W84" s="3"/>
      <c r="X84" s="3"/>
      <c r="Y84" s="3"/>
      <c r="Z84" s="3"/>
      <c r="AA84" s="3"/>
    </row>
    <row r="85">
      <c r="A85" s="20"/>
      <c r="B85" s="20"/>
      <c r="C85" s="20"/>
      <c r="D85" s="20"/>
      <c r="E85" s="20"/>
      <c r="F85" s="20"/>
      <c r="G85" s="20"/>
      <c r="H85" s="20"/>
      <c r="I85" s="3"/>
      <c r="J85" s="3"/>
      <c r="K85" s="3"/>
      <c r="L85" s="3"/>
      <c r="M85" s="3"/>
      <c r="N85" s="3"/>
      <c r="O85" s="3"/>
      <c r="P85" s="3"/>
      <c r="Q85" s="3"/>
      <c r="R85" s="3"/>
      <c r="S85" s="3"/>
      <c r="T85" s="3"/>
      <c r="U85" s="3"/>
      <c r="V85" s="3"/>
      <c r="W85" s="3"/>
      <c r="X85" s="3"/>
      <c r="Y85" s="3"/>
      <c r="Z85" s="3"/>
      <c r="AA85" s="3"/>
    </row>
    <row r="86">
      <c r="A86" s="20"/>
      <c r="B86" s="20"/>
      <c r="C86" s="20"/>
      <c r="D86" s="20"/>
      <c r="E86" s="20"/>
      <c r="F86" s="20"/>
      <c r="G86" s="20"/>
      <c r="H86" s="20"/>
      <c r="I86" s="3"/>
      <c r="J86" s="3"/>
      <c r="K86" s="3"/>
      <c r="L86" s="3"/>
      <c r="M86" s="3"/>
      <c r="N86" s="3"/>
      <c r="O86" s="3"/>
      <c r="P86" s="3"/>
      <c r="Q86" s="3"/>
      <c r="R86" s="3"/>
      <c r="S86" s="3"/>
      <c r="T86" s="3"/>
      <c r="U86" s="3"/>
      <c r="V86" s="3"/>
      <c r="W86" s="3"/>
      <c r="X86" s="3"/>
      <c r="Y86" s="3"/>
      <c r="Z86" s="3"/>
      <c r="AA86" s="3"/>
    </row>
    <row r="87">
      <c r="A87" s="20"/>
      <c r="B87" s="20"/>
      <c r="C87" s="20"/>
      <c r="D87" s="20"/>
      <c r="E87" s="20"/>
      <c r="F87" s="20"/>
      <c r="G87" s="20"/>
      <c r="H87" s="20"/>
      <c r="I87" s="3"/>
      <c r="J87" s="3"/>
      <c r="K87" s="3"/>
      <c r="L87" s="3"/>
      <c r="M87" s="3"/>
      <c r="N87" s="3"/>
      <c r="O87" s="3"/>
      <c r="P87" s="3"/>
      <c r="Q87" s="3"/>
      <c r="R87" s="3"/>
      <c r="S87" s="3"/>
      <c r="T87" s="3"/>
      <c r="U87" s="3"/>
      <c r="V87" s="3"/>
      <c r="W87" s="3"/>
      <c r="X87" s="3"/>
      <c r="Y87" s="3"/>
      <c r="Z87" s="3"/>
      <c r="AA87" s="3"/>
    </row>
    <row r="88">
      <c r="A88" s="20"/>
      <c r="B88" s="20"/>
      <c r="C88" s="20"/>
      <c r="D88" s="20"/>
      <c r="E88" s="20"/>
      <c r="F88" s="20"/>
      <c r="G88" s="20"/>
      <c r="H88" s="20"/>
      <c r="I88" s="3"/>
      <c r="J88" s="3"/>
      <c r="K88" s="3"/>
      <c r="L88" s="3"/>
      <c r="M88" s="3"/>
      <c r="N88" s="3"/>
      <c r="O88" s="3"/>
      <c r="P88" s="3"/>
      <c r="Q88" s="3"/>
      <c r="R88" s="3"/>
      <c r="S88" s="3"/>
      <c r="T88" s="3"/>
      <c r="U88" s="3"/>
      <c r="V88" s="3"/>
      <c r="W88" s="3"/>
      <c r="X88" s="3"/>
      <c r="Y88" s="3"/>
      <c r="Z88" s="3"/>
      <c r="AA88" s="3"/>
    </row>
    <row r="89">
      <c r="A89" s="20"/>
      <c r="B89" s="20"/>
      <c r="C89" s="20"/>
      <c r="D89" s="20"/>
      <c r="E89" s="20"/>
      <c r="F89" s="20"/>
      <c r="G89" s="20"/>
      <c r="H89" s="20"/>
      <c r="I89" s="3"/>
      <c r="J89" s="3"/>
      <c r="K89" s="3"/>
      <c r="L89" s="3"/>
      <c r="M89" s="3"/>
      <c r="N89" s="3"/>
      <c r="O89" s="3"/>
      <c r="P89" s="3"/>
      <c r="Q89" s="3"/>
      <c r="R89" s="3"/>
      <c r="S89" s="3"/>
      <c r="T89" s="3"/>
      <c r="U89" s="3"/>
      <c r="V89" s="3"/>
      <c r="W89" s="3"/>
      <c r="X89" s="3"/>
      <c r="Y89" s="3"/>
      <c r="Z89" s="3"/>
      <c r="AA89" s="3"/>
    </row>
    <row r="90">
      <c r="A90" s="20"/>
      <c r="B90" s="20"/>
      <c r="C90" s="20"/>
      <c r="D90" s="20"/>
      <c r="E90" s="20"/>
      <c r="F90" s="20"/>
      <c r="G90" s="20"/>
      <c r="H90" s="20"/>
      <c r="I90" s="3"/>
      <c r="J90" s="3"/>
      <c r="K90" s="3"/>
      <c r="L90" s="3"/>
      <c r="M90" s="3"/>
      <c r="N90" s="3"/>
      <c r="O90" s="3"/>
      <c r="P90" s="3"/>
      <c r="Q90" s="3"/>
      <c r="R90" s="3"/>
      <c r="S90" s="3"/>
      <c r="T90" s="3"/>
      <c r="U90" s="3"/>
      <c r="V90" s="3"/>
      <c r="W90" s="3"/>
      <c r="X90" s="3"/>
      <c r="Y90" s="3"/>
      <c r="Z90" s="3"/>
      <c r="AA90" s="3"/>
    </row>
    <row r="91">
      <c r="A91" s="20"/>
      <c r="B91" s="20"/>
      <c r="C91" s="20"/>
      <c r="D91" s="20"/>
      <c r="E91" s="20"/>
      <c r="F91" s="20"/>
      <c r="G91" s="20"/>
      <c r="H91" s="20"/>
      <c r="I91" s="3"/>
      <c r="J91" s="3"/>
      <c r="K91" s="3"/>
      <c r="L91" s="3"/>
      <c r="M91" s="3"/>
      <c r="N91" s="3"/>
      <c r="O91" s="3"/>
      <c r="P91" s="3"/>
      <c r="Q91" s="3"/>
      <c r="R91" s="3"/>
      <c r="S91" s="3"/>
      <c r="T91" s="3"/>
      <c r="U91" s="3"/>
      <c r="V91" s="3"/>
      <c r="W91" s="3"/>
      <c r="X91" s="3"/>
      <c r="Y91" s="3"/>
      <c r="Z91" s="3"/>
      <c r="AA91" s="3"/>
    </row>
    <row r="92">
      <c r="A92" s="20"/>
      <c r="B92" s="20"/>
      <c r="C92" s="20"/>
      <c r="D92" s="20"/>
      <c r="E92" s="20"/>
      <c r="F92" s="20"/>
      <c r="G92" s="20"/>
      <c r="H92" s="20"/>
      <c r="I92" s="3"/>
      <c r="J92" s="3"/>
      <c r="K92" s="3"/>
      <c r="L92" s="3"/>
      <c r="M92" s="3"/>
      <c r="N92" s="3"/>
      <c r="O92" s="3"/>
      <c r="P92" s="3"/>
      <c r="Q92" s="3"/>
      <c r="R92" s="3"/>
      <c r="S92" s="3"/>
      <c r="T92" s="3"/>
      <c r="U92" s="3"/>
      <c r="V92" s="3"/>
      <c r="W92" s="3"/>
      <c r="X92" s="3"/>
      <c r="Y92" s="3"/>
      <c r="Z92" s="3"/>
      <c r="AA92" s="3"/>
    </row>
    <row r="93">
      <c r="A93" s="20"/>
      <c r="B93" s="20"/>
      <c r="C93" s="20"/>
      <c r="D93" s="20"/>
      <c r="E93" s="20"/>
      <c r="F93" s="20"/>
      <c r="G93" s="20"/>
      <c r="H93" s="20"/>
      <c r="I93" s="3"/>
      <c r="J93" s="3"/>
      <c r="K93" s="3"/>
      <c r="L93" s="3"/>
      <c r="M93" s="3"/>
      <c r="N93" s="3"/>
      <c r="O93" s="3"/>
      <c r="P93" s="3"/>
      <c r="Q93" s="3"/>
      <c r="R93" s="3"/>
      <c r="S93" s="3"/>
      <c r="T93" s="3"/>
      <c r="U93" s="3"/>
      <c r="V93" s="3"/>
      <c r="W93" s="3"/>
      <c r="X93" s="3"/>
      <c r="Y93" s="3"/>
      <c r="Z93" s="3"/>
      <c r="AA93" s="3"/>
    </row>
    <row r="94">
      <c r="A94" s="20"/>
      <c r="B94" s="20"/>
      <c r="C94" s="20"/>
      <c r="D94" s="20"/>
      <c r="E94" s="20"/>
      <c r="F94" s="20"/>
      <c r="G94" s="20"/>
      <c r="H94" s="20"/>
      <c r="I94" s="3"/>
      <c r="J94" s="3"/>
      <c r="K94" s="3"/>
      <c r="L94" s="3"/>
      <c r="M94" s="3"/>
      <c r="N94" s="3"/>
      <c r="O94" s="3"/>
      <c r="P94" s="3"/>
      <c r="Q94" s="3"/>
      <c r="R94" s="3"/>
      <c r="S94" s="3"/>
      <c r="T94" s="3"/>
      <c r="U94" s="3"/>
      <c r="V94" s="3"/>
      <c r="W94" s="3"/>
      <c r="X94" s="3"/>
      <c r="Y94" s="3"/>
      <c r="Z94" s="3"/>
      <c r="AA94" s="3"/>
    </row>
    <row r="95">
      <c r="A95" s="20"/>
      <c r="B95" s="20"/>
      <c r="C95" s="20"/>
      <c r="D95" s="20"/>
      <c r="E95" s="20"/>
      <c r="F95" s="20"/>
      <c r="G95" s="20"/>
      <c r="H95" s="20"/>
      <c r="I95" s="3"/>
      <c r="J95" s="3"/>
      <c r="K95" s="3"/>
      <c r="L95" s="3"/>
      <c r="M95" s="3"/>
      <c r="N95" s="3"/>
      <c r="O95" s="3"/>
      <c r="P95" s="3"/>
      <c r="Q95" s="3"/>
      <c r="R95" s="3"/>
      <c r="S95" s="3"/>
      <c r="T95" s="3"/>
      <c r="U95" s="3"/>
      <c r="V95" s="3"/>
      <c r="W95" s="3"/>
      <c r="X95" s="3"/>
      <c r="Y95" s="3"/>
      <c r="Z95" s="3"/>
      <c r="AA95" s="3"/>
    </row>
    <row r="96">
      <c r="A96" s="20"/>
      <c r="B96" s="20"/>
      <c r="C96" s="20"/>
      <c r="D96" s="20"/>
      <c r="E96" s="20"/>
      <c r="F96" s="20"/>
      <c r="G96" s="20"/>
      <c r="H96" s="20"/>
      <c r="I96" s="3"/>
      <c r="J96" s="3"/>
      <c r="K96" s="3"/>
      <c r="L96" s="3"/>
      <c r="M96" s="3"/>
      <c r="N96" s="3"/>
      <c r="O96" s="3"/>
      <c r="P96" s="3"/>
      <c r="Q96" s="3"/>
      <c r="R96" s="3"/>
      <c r="S96" s="3"/>
      <c r="T96" s="3"/>
      <c r="U96" s="3"/>
      <c r="V96" s="3"/>
      <c r="W96" s="3"/>
      <c r="X96" s="3"/>
      <c r="Y96" s="3"/>
      <c r="Z96" s="3"/>
      <c r="AA96" s="3"/>
    </row>
    <row r="97">
      <c r="A97" s="20"/>
      <c r="B97" s="20"/>
      <c r="C97" s="20"/>
      <c r="D97" s="20"/>
      <c r="E97" s="20"/>
      <c r="F97" s="20"/>
      <c r="G97" s="20"/>
      <c r="H97" s="20"/>
      <c r="I97" s="3"/>
      <c r="J97" s="3"/>
      <c r="K97" s="3"/>
      <c r="L97" s="3"/>
      <c r="M97" s="3"/>
      <c r="N97" s="3"/>
      <c r="O97" s="3"/>
      <c r="P97" s="3"/>
      <c r="Q97" s="3"/>
      <c r="R97" s="3"/>
      <c r="S97" s="3"/>
      <c r="T97" s="3"/>
      <c r="U97" s="3"/>
      <c r="V97" s="3"/>
      <c r="W97" s="3"/>
      <c r="X97" s="3"/>
      <c r="Y97" s="3"/>
      <c r="Z97" s="3"/>
      <c r="AA97" s="3"/>
    </row>
    <row r="98">
      <c r="A98" s="20"/>
      <c r="B98" s="20"/>
      <c r="C98" s="20"/>
      <c r="D98" s="20"/>
      <c r="E98" s="20"/>
      <c r="F98" s="20"/>
      <c r="G98" s="20"/>
      <c r="H98" s="20"/>
      <c r="I98" s="3"/>
      <c r="J98" s="3"/>
      <c r="K98" s="3"/>
      <c r="L98" s="3"/>
      <c r="M98" s="3"/>
      <c r="N98" s="3"/>
      <c r="O98" s="3"/>
      <c r="P98" s="3"/>
      <c r="Q98" s="3"/>
      <c r="R98" s="3"/>
      <c r="S98" s="3"/>
      <c r="T98" s="3"/>
      <c r="U98" s="3"/>
      <c r="V98" s="3"/>
      <c r="W98" s="3"/>
      <c r="X98" s="3"/>
      <c r="Y98" s="3"/>
      <c r="Z98" s="3"/>
      <c r="AA98" s="3"/>
    </row>
    <row r="99">
      <c r="A99" s="20"/>
      <c r="B99" s="20"/>
      <c r="C99" s="20"/>
      <c r="D99" s="20"/>
      <c r="E99" s="20"/>
      <c r="F99" s="20"/>
      <c r="G99" s="20"/>
      <c r="H99" s="20"/>
      <c r="I99" s="3"/>
      <c r="J99" s="3"/>
      <c r="K99" s="3"/>
      <c r="L99" s="3"/>
      <c r="M99" s="3"/>
      <c r="N99" s="3"/>
      <c r="O99" s="3"/>
      <c r="P99" s="3"/>
      <c r="Q99" s="3"/>
      <c r="R99" s="3"/>
      <c r="S99" s="3"/>
      <c r="T99" s="3"/>
      <c r="U99" s="3"/>
      <c r="V99" s="3"/>
      <c r="W99" s="3"/>
      <c r="X99" s="3"/>
      <c r="Y99" s="3"/>
      <c r="Z99" s="3"/>
      <c r="AA99" s="3"/>
    </row>
    <row r="100">
      <c r="A100" s="20"/>
      <c r="B100" s="20"/>
      <c r="C100" s="20"/>
      <c r="D100" s="20"/>
      <c r="E100" s="20"/>
      <c r="F100" s="20"/>
      <c r="G100" s="20"/>
      <c r="H100" s="20"/>
      <c r="I100" s="3"/>
      <c r="J100" s="3"/>
      <c r="K100" s="3"/>
      <c r="L100" s="3"/>
      <c r="M100" s="3"/>
      <c r="N100" s="3"/>
      <c r="O100" s="3"/>
      <c r="P100" s="3"/>
      <c r="Q100" s="3"/>
      <c r="R100" s="3"/>
      <c r="S100" s="3"/>
      <c r="T100" s="3"/>
      <c r="U100" s="3"/>
      <c r="V100" s="3"/>
      <c r="W100" s="3"/>
      <c r="X100" s="3"/>
      <c r="Y100" s="3"/>
      <c r="Z100" s="3"/>
      <c r="AA100" s="3"/>
    </row>
    <row r="101">
      <c r="A101" s="20"/>
      <c r="B101" s="20"/>
      <c r="C101" s="20"/>
      <c r="D101" s="20"/>
      <c r="E101" s="20"/>
      <c r="F101" s="20"/>
      <c r="G101" s="20"/>
      <c r="H101" s="20"/>
      <c r="I101" s="3"/>
      <c r="J101" s="3"/>
      <c r="K101" s="3"/>
      <c r="L101" s="3"/>
      <c r="M101" s="3"/>
      <c r="N101" s="3"/>
      <c r="O101" s="3"/>
      <c r="P101" s="3"/>
      <c r="Q101" s="3"/>
      <c r="R101" s="3"/>
      <c r="S101" s="3"/>
      <c r="T101" s="3"/>
      <c r="U101" s="3"/>
      <c r="V101" s="3"/>
      <c r="W101" s="3"/>
      <c r="X101" s="3"/>
      <c r="Y101" s="3"/>
      <c r="Z101" s="3"/>
      <c r="AA101" s="3"/>
    </row>
    <row r="102">
      <c r="A102" s="20"/>
      <c r="B102" s="20"/>
      <c r="C102" s="20"/>
      <c r="D102" s="20"/>
      <c r="E102" s="20"/>
      <c r="F102" s="20"/>
      <c r="G102" s="20"/>
      <c r="H102" s="20"/>
      <c r="I102" s="3"/>
      <c r="J102" s="3"/>
      <c r="K102" s="3"/>
      <c r="L102" s="3"/>
      <c r="M102" s="3"/>
      <c r="N102" s="3"/>
      <c r="O102" s="3"/>
      <c r="P102" s="3"/>
      <c r="Q102" s="3"/>
      <c r="R102" s="3"/>
      <c r="S102" s="3"/>
      <c r="T102" s="3"/>
      <c r="U102" s="3"/>
      <c r="V102" s="3"/>
      <c r="W102" s="3"/>
      <c r="X102" s="3"/>
      <c r="Y102" s="3"/>
      <c r="Z102" s="3"/>
      <c r="AA102" s="3"/>
    </row>
    <row r="103">
      <c r="A103" s="20"/>
      <c r="B103" s="20"/>
      <c r="C103" s="20"/>
      <c r="D103" s="20"/>
      <c r="E103" s="20"/>
      <c r="F103" s="20"/>
      <c r="G103" s="20"/>
      <c r="H103" s="20"/>
      <c r="I103" s="3"/>
      <c r="J103" s="3"/>
      <c r="K103" s="3"/>
      <c r="L103" s="3"/>
      <c r="M103" s="3"/>
      <c r="N103" s="3"/>
      <c r="O103" s="3"/>
      <c r="P103" s="3"/>
      <c r="Q103" s="3"/>
      <c r="R103" s="3"/>
      <c r="S103" s="3"/>
      <c r="T103" s="3"/>
      <c r="U103" s="3"/>
      <c r="V103" s="3"/>
      <c r="W103" s="3"/>
      <c r="X103" s="3"/>
      <c r="Y103" s="3"/>
      <c r="Z103" s="3"/>
      <c r="AA103" s="3"/>
    </row>
    <row r="104">
      <c r="A104" s="20"/>
      <c r="B104" s="20"/>
      <c r="C104" s="20"/>
      <c r="D104" s="20"/>
      <c r="E104" s="20"/>
      <c r="F104" s="20"/>
      <c r="G104" s="20"/>
      <c r="H104" s="20"/>
      <c r="I104" s="3"/>
      <c r="J104" s="3"/>
      <c r="K104" s="3"/>
      <c r="L104" s="3"/>
      <c r="M104" s="3"/>
      <c r="N104" s="3"/>
      <c r="O104" s="3"/>
      <c r="P104" s="3"/>
      <c r="Q104" s="3"/>
      <c r="R104" s="3"/>
      <c r="S104" s="3"/>
      <c r="T104" s="3"/>
      <c r="U104" s="3"/>
      <c r="V104" s="3"/>
      <c r="W104" s="3"/>
      <c r="X104" s="3"/>
      <c r="Y104" s="3"/>
      <c r="Z104" s="3"/>
      <c r="AA104" s="3"/>
    </row>
    <row r="105">
      <c r="A105" s="20"/>
      <c r="B105" s="20"/>
      <c r="C105" s="20"/>
      <c r="D105" s="20"/>
      <c r="E105" s="20"/>
      <c r="F105" s="20"/>
      <c r="G105" s="20"/>
      <c r="H105" s="20"/>
      <c r="I105" s="3"/>
      <c r="J105" s="3"/>
      <c r="K105" s="3"/>
      <c r="L105" s="3"/>
      <c r="M105" s="3"/>
      <c r="N105" s="3"/>
      <c r="O105" s="3"/>
      <c r="P105" s="3"/>
      <c r="Q105" s="3"/>
      <c r="R105" s="3"/>
      <c r="S105" s="3"/>
      <c r="T105" s="3"/>
      <c r="U105" s="3"/>
      <c r="V105" s="3"/>
      <c r="W105" s="3"/>
      <c r="X105" s="3"/>
      <c r="Y105" s="3"/>
      <c r="Z105" s="3"/>
      <c r="AA105" s="3"/>
    </row>
    <row r="106">
      <c r="A106" s="20"/>
      <c r="B106" s="20"/>
      <c r="C106" s="20"/>
      <c r="D106" s="20"/>
      <c r="E106" s="20"/>
      <c r="F106" s="20"/>
      <c r="G106" s="20"/>
      <c r="H106" s="20"/>
      <c r="I106" s="3"/>
      <c r="J106" s="3"/>
      <c r="K106" s="3"/>
      <c r="L106" s="3"/>
      <c r="M106" s="3"/>
      <c r="N106" s="3"/>
      <c r="O106" s="3"/>
      <c r="P106" s="3"/>
      <c r="Q106" s="3"/>
      <c r="R106" s="3"/>
      <c r="S106" s="3"/>
      <c r="T106" s="3"/>
      <c r="U106" s="3"/>
      <c r="V106" s="3"/>
      <c r="W106" s="3"/>
      <c r="X106" s="3"/>
      <c r="Y106" s="3"/>
      <c r="Z106" s="3"/>
      <c r="AA106" s="3"/>
    </row>
    <row r="107">
      <c r="A107" s="20"/>
      <c r="B107" s="20"/>
      <c r="C107" s="20"/>
      <c r="D107" s="20"/>
      <c r="E107" s="20"/>
      <c r="F107" s="20"/>
      <c r="G107" s="20"/>
      <c r="H107" s="20"/>
      <c r="I107" s="3"/>
      <c r="J107" s="3"/>
      <c r="K107" s="3"/>
      <c r="L107" s="3"/>
      <c r="M107" s="3"/>
      <c r="N107" s="3"/>
      <c r="O107" s="3"/>
      <c r="P107" s="3"/>
      <c r="Q107" s="3"/>
      <c r="R107" s="3"/>
      <c r="S107" s="3"/>
      <c r="T107" s="3"/>
      <c r="U107" s="3"/>
      <c r="V107" s="3"/>
      <c r="W107" s="3"/>
      <c r="X107" s="3"/>
      <c r="Y107" s="3"/>
      <c r="Z107" s="3"/>
      <c r="AA107" s="3"/>
    </row>
    <row r="108">
      <c r="A108" s="20"/>
      <c r="B108" s="20"/>
      <c r="C108" s="20"/>
      <c r="D108" s="20"/>
      <c r="E108" s="20"/>
      <c r="F108" s="20"/>
      <c r="G108" s="20"/>
      <c r="H108" s="20"/>
      <c r="I108" s="3"/>
      <c r="J108" s="3"/>
      <c r="K108" s="3"/>
      <c r="L108" s="3"/>
      <c r="M108" s="3"/>
      <c r="N108" s="3"/>
      <c r="O108" s="3"/>
      <c r="P108" s="3"/>
      <c r="Q108" s="3"/>
      <c r="R108" s="3"/>
      <c r="S108" s="3"/>
      <c r="T108" s="3"/>
      <c r="U108" s="3"/>
      <c r="V108" s="3"/>
      <c r="W108" s="3"/>
      <c r="X108" s="3"/>
      <c r="Y108" s="3"/>
      <c r="Z108" s="3"/>
      <c r="AA108" s="3"/>
    </row>
    <row r="109">
      <c r="A109" s="20"/>
      <c r="B109" s="20"/>
      <c r="C109" s="20"/>
      <c r="D109" s="20"/>
      <c r="E109" s="20"/>
      <c r="F109" s="20"/>
      <c r="G109" s="20"/>
      <c r="H109" s="20"/>
      <c r="I109" s="3"/>
      <c r="J109" s="3"/>
      <c r="K109" s="3"/>
      <c r="L109" s="3"/>
      <c r="M109" s="3"/>
      <c r="N109" s="3"/>
      <c r="O109" s="3"/>
      <c r="P109" s="3"/>
      <c r="Q109" s="3"/>
      <c r="R109" s="3"/>
      <c r="S109" s="3"/>
      <c r="T109" s="3"/>
      <c r="U109" s="3"/>
      <c r="V109" s="3"/>
      <c r="W109" s="3"/>
      <c r="X109" s="3"/>
      <c r="Y109" s="3"/>
      <c r="Z109" s="3"/>
      <c r="AA109" s="3"/>
    </row>
    <row r="110">
      <c r="A110" s="20"/>
      <c r="B110" s="20"/>
      <c r="C110" s="20"/>
      <c r="D110" s="20"/>
      <c r="E110" s="20"/>
      <c r="F110" s="20"/>
      <c r="G110" s="20"/>
      <c r="H110" s="20"/>
      <c r="I110" s="3"/>
      <c r="J110" s="3"/>
      <c r="K110" s="3"/>
      <c r="L110" s="3"/>
      <c r="M110" s="3"/>
      <c r="N110" s="3"/>
      <c r="O110" s="3"/>
      <c r="P110" s="3"/>
      <c r="Q110" s="3"/>
      <c r="R110" s="3"/>
      <c r="S110" s="3"/>
      <c r="T110" s="3"/>
      <c r="U110" s="3"/>
      <c r="V110" s="3"/>
      <c r="W110" s="3"/>
      <c r="X110" s="3"/>
      <c r="Y110" s="3"/>
      <c r="Z110" s="3"/>
      <c r="AA110" s="3"/>
    </row>
    <row r="111">
      <c r="A111" s="20"/>
      <c r="B111" s="20"/>
      <c r="C111" s="20"/>
      <c r="D111" s="20"/>
      <c r="E111" s="20"/>
      <c r="F111" s="20"/>
      <c r="G111" s="20"/>
      <c r="H111" s="20"/>
      <c r="I111" s="3"/>
      <c r="J111" s="3"/>
      <c r="K111" s="3"/>
      <c r="L111" s="3"/>
      <c r="M111" s="3"/>
      <c r="N111" s="3"/>
      <c r="O111" s="3"/>
      <c r="P111" s="3"/>
      <c r="Q111" s="3"/>
      <c r="R111" s="3"/>
      <c r="S111" s="3"/>
      <c r="T111" s="3"/>
      <c r="U111" s="3"/>
      <c r="V111" s="3"/>
      <c r="W111" s="3"/>
      <c r="X111" s="3"/>
      <c r="Y111" s="3"/>
      <c r="Z111" s="3"/>
      <c r="AA111" s="3"/>
    </row>
    <row r="112">
      <c r="A112" s="20"/>
      <c r="B112" s="20"/>
      <c r="C112" s="20"/>
      <c r="D112" s="20"/>
      <c r="E112" s="20"/>
      <c r="F112" s="20"/>
      <c r="G112" s="20"/>
      <c r="H112" s="20"/>
      <c r="I112" s="3"/>
      <c r="J112" s="3"/>
      <c r="K112" s="3"/>
      <c r="L112" s="3"/>
      <c r="M112" s="3"/>
      <c r="N112" s="3"/>
      <c r="O112" s="3"/>
      <c r="P112" s="3"/>
      <c r="Q112" s="3"/>
      <c r="R112" s="3"/>
      <c r="S112" s="3"/>
      <c r="T112" s="3"/>
      <c r="U112" s="3"/>
      <c r="V112" s="3"/>
      <c r="W112" s="3"/>
      <c r="X112" s="3"/>
      <c r="Y112" s="3"/>
      <c r="Z112" s="3"/>
      <c r="AA112" s="3"/>
    </row>
    <row r="113">
      <c r="A113" s="20"/>
      <c r="B113" s="20"/>
      <c r="C113" s="20"/>
      <c r="D113" s="20"/>
      <c r="E113" s="20"/>
      <c r="F113" s="20"/>
      <c r="G113" s="20"/>
      <c r="H113" s="20"/>
      <c r="I113" s="3"/>
      <c r="J113" s="3"/>
      <c r="K113" s="3"/>
      <c r="L113" s="3"/>
      <c r="M113" s="3"/>
      <c r="N113" s="3"/>
      <c r="O113" s="3"/>
      <c r="P113" s="3"/>
      <c r="Q113" s="3"/>
      <c r="R113" s="3"/>
      <c r="S113" s="3"/>
      <c r="T113" s="3"/>
      <c r="U113" s="3"/>
      <c r="V113" s="3"/>
      <c r="W113" s="3"/>
      <c r="X113" s="3"/>
      <c r="Y113" s="3"/>
      <c r="Z113" s="3"/>
      <c r="AA113" s="3"/>
    </row>
    <row r="114">
      <c r="A114" s="20"/>
      <c r="B114" s="20"/>
      <c r="C114" s="20"/>
      <c r="D114" s="20"/>
      <c r="E114" s="20"/>
      <c r="F114" s="20"/>
      <c r="G114" s="20"/>
      <c r="H114" s="20"/>
      <c r="I114" s="3"/>
      <c r="J114" s="3"/>
      <c r="K114" s="3"/>
      <c r="L114" s="3"/>
      <c r="M114" s="3"/>
      <c r="N114" s="3"/>
      <c r="O114" s="3"/>
      <c r="P114" s="3"/>
      <c r="Q114" s="3"/>
      <c r="R114" s="3"/>
      <c r="S114" s="3"/>
      <c r="T114" s="3"/>
      <c r="U114" s="3"/>
      <c r="V114" s="3"/>
      <c r="W114" s="3"/>
      <c r="X114" s="3"/>
      <c r="Y114" s="3"/>
      <c r="Z114" s="3"/>
      <c r="AA114" s="3"/>
    </row>
    <row r="115">
      <c r="A115" s="20"/>
      <c r="B115" s="20"/>
      <c r="C115" s="20"/>
      <c r="D115" s="20"/>
      <c r="E115" s="20"/>
      <c r="F115" s="20"/>
      <c r="G115" s="20"/>
      <c r="H115" s="20"/>
      <c r="I115" s="3"/>
      <c r="J115" s="3"/>
      <c r="K115" s="3"/>
      <c r="L115" s="3"/>
      <c r="M115" s="3"/>
      <c r="N115" s="3"/>
      <c r="O115" s="3"/>
      <c r="P115" s="3"/>
      <c r="Q115" s="3"/>
      <c r="R115" s="3"/>
      <c r="S115" s="3"/>
      <c r="T115" s="3"/>
      <c r="U115" s="3"/>
      <c r="V115" s="3"/>
      <c r="W115" s="3"/>
      <c r="X115" s="3"/>
      <c r="Y115" s="3"/>
      <c r="Z115" s="3"/>
      <c r="AA115" s="3"/>
    </row>
    <row r="116">
      <c r="A116" s="20"/>
      <c r="B116" s="20"/>
      <c r="C116" s="20"/>
      <c r="D116" s="20"/>
      <c r="E116" s="20"/>
      <c r="F116" s="20"/>
      <c r="G116" s="20"/>
      <c r="H116" s="20"/>
      <c r="I116" s="3"/>
      <c r="J116" s="3"/>
      <c r="K116" s="3"/>
      <c r="L116" s="3"/>
      <c r="M116" s="3"/>
      <c r="N116" s="3"/>
      <c r="O116" s="3"/>
      <c r="P116" s="3"/>
      <c r="Q116" s="3"/>
      <c r="R116" s="3"/>
      <c r="S116" s="3"/>
      <c r="T116" s="3"/>
      <c r="U116" s="3"/>
      <c r="V116" s="3"/>
      <c r="W116" s="3"/>
      <c r="X116" s="3"/>
      <c r="Y116" s="3"/>
      <c r="Z116" s="3"/>
      <c r="AA116" s="3"/>
    </row>
    <row r="117">
      <c r="A117" s="20"/>
      <c r="B117" s="20"/>
      <c r="C117" s="20"/>
      <c r="D117" s="20"/>
      <c r="E117" s="20"/>
      <c r="F117" s="20"/>
      <c r="G117" s="20"/>
      <c r="H117" s="20"/>
      <c r="I117" s="3"/>
      <c r="J117" s="3"/>
      <c r="K117" s="3"/>
      <c r="L117" s="3"/>
      <c r="M117" s="3"/>
      <c r="N117" s="3"/>
      <c r="O117" s="3"/>
      <c r="P117" s="3"/>
      <c r="Q117" s="3"/>
      <c r="R117" s="3"/>
      <c r="S117" s="3"/>
      <c r="T117" s="3"/>
      <c r="U117" s="3"/>
      <c r="V117" s="3"/>
      <c r="W117" s="3"/>
      <c r="X117" s="3"/>
      <c r="Y117" s="3"/>
      <c r="Z117" s="3"/>
      <c r="AA117" s="3"/>
    </row>
    <row r="118">
      <c r="A118" s="20"/>
      <c r="B118" s="20"/>
      <c r="C118" s="20"/>
      <c r="D118" s="20"/>
      <c r="E118" s="20"/>
      <c r="F118" s="20"/>
      <c r="G118" s="20"/>
      <c r="H118" s="20"/>
      <c r="I118" s="3"/>
      <c r="J118" s="3"/>
      <c r="K118" s="3"/>
      <c r="L118" s="3"/>
      <c r="M118" s="3"/>
      <c r="N118" s="3"/>
      <c r="O118" s="3"/>
      <c r="P118" s="3"/>
      <c r="Q118" s="3"/>
      <c r="R118" s="3"/>
      <c r="S118" s="3"/>
      <c r="T118" s="3"/>
      <c r="U118" s="3"/>
      <c r="V118" s="3"/>
      <c r="W118" s="3"/>
      <c r="X118" s="3"/>
      <c r="Y118" s="3"/>
      <c r="Z118" s="3"/>
      <c r="AA118" s="3"/>
    </row>
    <row r="119">
      <c r="A119" s="20"/>
      <c r="B119" s="20"/>
      <c r="C119" s="20"/>
      <c r="D119" s="20"/>
      <c r="E119" s="20"/>
      <c r="F119" s="20"/>
      <c r="G119" s="20"/>
      <c r="H119" s="20"/>
      <c r="I119" s="3"/>
      <c r="J119" s="3"/>
      <c r="K119" s="3"/>
      <c r="L119" s="3"/>
      <c r="M119" s="3"/>
      <c r="N119" s="3"/>
      <c r="O119" s="3"/>
      <c r="P119" s="3"/>
      <c r="Q119" s="3"/>
      <c r="R119" s="3"/>
      <c r="S119" s="3"/>
      <c r="T119" s="3"/>
      <c r="U119" s="3"/>
      <c r="V119" s="3"/>
      <c r="W119" s="3"/>
      <c r="X119" s="3"/>
      <c r="Y119" s="3"/>
      <c r="Z119" s="3"/>
      <c r="AA119" s="3"/>
    </row>
    <row r="120">
      <c r="A120" s="20"/>
      <c r="B120" s="20"/>
      <c r="C120" s="20"/>
      <c r="D120" s="20"/>
      <c r="E120" s="20"/>
      <c r="F120" s="20"/>
      <c r="G120" s="20"/>
      <c r="H120" s="20"/>
      <c r="I120" s="3"/>
      <c r="J120" s="3"/>
      <c r="K120" s="3"/>
      <c r="L120" s="3"/>
      <c r="M120" s="3"/>
      <c r="N120" s="3"/>
      <c r="O120" s="3"/>
      <c r="P120" s="3"/>
      <c r="Q120" s="3"/>
      <c r="R120" s="3"/>
      <c r="S120" s="3"/>
      <c r="T120" s="3"/>
      <c r="U120" s="3"/>
      <c r="V120" s="3"/>
      <c r="W120" s="3"/>
      <c r="X120" s="3"/>
      <c r="Y120" s="3"/>
      <c r="Z120" s="3"/>
      <c r="AA120" s="3"/>
    </row>
    <row r="121">
      <c r="A121" s="20"/>
      <c r="B121" s="20"/>
      <c r="C121" s="20"/>
      <c r="D121" s="20"/>
      <c r="E121" s="20"/>
      <c r="F121" s="20"/>
      <c r="G121" s="20"/>
      <c r="H121" s="20"/>
      <c r="I121" s="3"/>
      <c r="J121" s="3"/>
      <c r="K121" s="3"/>
      <c r="L121" s="3"/>
      <c r="M121" s="3"/>
      <c r="N121" s="3"/>
      <c r="O121" s="3"/>
      <c r="P121" s="3"/>
      <c r="Q121" s="3"/>
      <c r="R121" s="3"/>
      <c r="S121" s="3"/>
      <c r="T121" s="3"/>
      <c r="U121" s="3"/>
      <c r="V121" s="3"/>
      <c r="W121" s="3"/>
      <c r="X121" s="3"/>
      <c r="Y121" s="3"/>
      <c r="Z121" s="3"/>
      <c r="AA121" s="3"/>
    </row>
    <row r="122">
      <c r="A122" s="20"/>
      <c r="B122" s="20"/>
      <c r="C122" s="20"/>
      <c r="D122" s="20"/>
      <c r="E122" s="20"/>
      <c r="F122" s="20"/>
      <c r="G122" s="20"/>
      <c r="H122" s="20"/>
      <c r="I122" s="3"/>
      <c r="J122" s="3"/>
      <c r="K122" s="3"/>
      <c r="L122" s="3"/>
      <c r="M122" s="3"/>
      <c r="N122" s="3"/>
      <c r="O122" s="3"/>
      <c r="P122" s="3"/>
      <c r="Q122" s="3"/>
      <c r="R122" s="3"/>
      <c r="S122" s="3"/>
      <c r="T122" s="3"/>
      <c r="U122" s="3"/>
      <c r="V122" s="3"/>
      <c r="W122" s="3"/>
      <c r="X122" s="3"/>
      <c r="Y122" s="3"/>
      <c r="Z122" s="3"/>
      <c r="AA122" s="3"/>
    </row>
    <row r="123">
      <c r="A123" s="20"/>
      <c r="B123" s="20"/>
      <c r="C123" s="20"/>
      <c r="D123" s="20"/>
      <c r="E123" s="20"/>
      <c r="F123" s="20"/>
      <c r="G123" s="20"/>
      <c r="H123" s="20"/>
      <c r="I123" s="3"/>
      <c r="J123" s="3"/>
      <c r="K123" s="3"/>
      <c r="L123" s="3"/>
      <c r="M123" s="3"/>
      <c r="N123" s="3"/>
      <c r="O123" s="3"/>
      <c r="P123" s="3"/>
      <c r="Q123" s="3"/>
      <c r="R123" s="3"/>
      <c r="S123" s="3"/>
      <c r="T123" s="3"/>
      <c r="U123" s="3"/>
      <c r="V123" s="3"/>
      <c r="W123" s="3"/>
      <c r="X123" s="3"/>
      <c r="Y123" s="3"/>
      <c r="Z123" s="3"/>
      <c r="AA123" s="3"/>
    </row>
    <row r="124">
      <c r="A124" s="20"/>
      <c r="B124" s="20"/>
      <c r="C124" s="20"/>
      <c r="D124" s="20"/>
      <c r="E124" s="20"/>
      <c r="F124" s="20"/>
      <c r="G124" s="20"/>
      <c r="H124" s="20"/>
      <c r="I124" s="3"/>
      <c r="J124" s="3"/>
      <c r="K124" s="3"/>
      <c r="L124" s="3"/>
      <c r="M124" s="3"/>
      <c r="N124" s="3"/>
      <c r="O124" s="3"/>
      <c r="P124" s="3"/>
      <c r="Q124" s="3"/>
      <c r="R124" s="3"/>
      <c r="S124" s="3"/>
      <c r="T124" s="3"/>
      <c r="U124" s="3"/>
      <c r="V124" s="3"/>
      <c r="W124" s="3"/>
      <c r="X124" s="3"/>
      <c r="Y124" s="3"/>
      <c r="Z124" s="3"/>
      <c r="AA124" s="3"/>
    </row>
    <row r="125">
      <c r="A125" s="20"/>
      <c r="B125" s="20"/>
      <c r="C125" s="20"/>
      <c r="D125" s="20"/>
      <c r="E125" s="20"/>
      <c r="F125" s="20"/>
      <c r="G125" s="20"/>
      <c r="H125" s="20"/>
      <c r="I125" s="3"/>
      <c r="J125" s="3"/>
      <c r="K125" s="3"/>
      <c r="L125" s="3"/>
      <c r="M125" s="3"/>
      <c r="N125" s="3"/>
      <c r="O125" s="3"/>
      <c r="P125" s="3"/>
      <c r="Q125" s="3"/>
      <c r="R125" s="3"/>
      <c r="S125" s="3"/>
      <c r="T125" s="3"/>
      <c r="U125" s="3"/>
      <c r="V125" s="3"/>
      <c r="W125" s="3"/>
      <c r="X125" s="3"/>
      <c r="Y125" s="3"/>
      <c r="Z125" s="3"/>
      <c r="AA125" s="3"/>
    </row>
    <row r="126">
      <c r="A126" s="20"/>
      <c r="B126" s="20"/>
      <c r="C126" s="20"/>
      <c r="D126" s="20"/>
      <c r="E126" s="20"/>
      <c r="F126" s="20"/>
      <c r="G126" s="20"/>
      <c r="H126" s="20"/>
      <c r="I126" s="3"/>
      <c r="J126" s="3"/>
      <c r="K126" s="3"/>
      <c r="L126" s="3"/>
      <c r="M126" s="3"/>
      <c r="N126" s="3"/>
      <c r="O126" s="3"/>
      <c r="P126" s="3"/>
      <c r="Q126" s="3"/>
      <c r="R126" s="3"/>
      <c r="S126" s="3"/>
      <c r="T126" s="3"/>
      <c r="U126" s="3"/>
      <c r="V126" s="3"/>
      <c r="W126" s="3"/>
      <c r="X126" s="3"/>
      <c r="Y126" s="3"/>
      <c r="Z126" s="3"/>
      <c r="AA126" s="3"/>
    </row>
    <row r="127">
      <c r="A127" s="20"/>
      <c r="B127" s="20"/>
      <c r="C127" s="20"/>
      <c r="D127" s="20"/>
      <c r="E127" s="20"/>
      <c r="F127" s="20"/>
      <c r="G127" s="20"/>
      <c r="H127" s="20"/>
      <c r="I127" s="3"/>
      <c r="J127" s="3"/>
      <c r="K127" s="3"/>
      <c r="L127" s="3"/>
      <c r="M127" s="3"/>
      <c r="N127" s="3"/>
      <c r="O127" s="3"/>
      <c r="P127" s="3"/>
      <c r="Q127" s="3"/>
      <c r="R127" s="3"/>
      <c r="S127" s="3"/>
      <c r="T127" s="3"/>
      <c r="U127" s="3"/>
      <c r="V127" s="3"/>
      <c r="W127" s="3"/>
      <c r="X127" s="3"/>
      <c r="Y127" s="3"/>
      <c r="Z127" s="3"/>
      <c r="AA127" s="3"/>
    </row>
    <row r="128">
      <c r="A128" s="20"/>
      <c r="B128" s="20"/>
      <c r="C128" s="20"/>
      <c r="D128" s="20"/>
      <c r="E128" s="20"/>
      <c r="F128" s="20"/>
      <c r="G128" s="20"/>
      <c r="H128" s="20"/>
      <c r="I128" s="3"/>
      <c r="J128" s="3"/>
      <c r="K128" s="3"/>
      <c r="L128" s="3"/>
      <c r="M128" s="3"/>
      <c r="N128" s="3"/>
      <c r="O128" s="3"/>
      <c r="P128" s="3"/>
      <c r="Q128" s="3"/>
      <c r="R128" s="3"/>
      <c r="S128" s="3"/>
      <c r="T128" s="3"/>
      <c r="U128" s="3"/>
      <c r="V128" s="3"/>
      <c r="W128" s="3"/>
      <c r="X128" s="3"/>
      <c r="Y128" s="3"/>
      <c r="Z128" s="3"/>
      <c r="AA128" s="3"/>
    </row>
    <row r="129">
      <c r="A129" s="20"/>
      <c r="B129" s="20"/>
      <c r="C129" s="20"/>
      <c r="D129" s="20"/>
      <c r="E129" s="20"/>
      <c r="F129" s="20"/>
      <c r="G129" s="20"/>
      <c r="H129" s="20"/>
      <c r="I129" s="3"/>
      <c r="J129" s="3"/>
      <c r="K129" s="3"/>
      <c r="L129" s="3"/>
      <c r="M129" s="3"/>
      <c r="N129" s="3"/>
      <c r="O129" s="3"/>
      <c r="P129" s="3"/>
      <c r="Q129" s="3"/>
      <c r="R129" s="3"/>
      <c r="S129" s="3"/>
      <c r="T129" s="3"/>
      <c r="U129" s="3"/>
      <c r="V129" s="3"/>
      <c r="W129" s="3"/>
      <c r="X129" s="3"/>
      <c r="Y129" s="3"/>
      <c r="Z129" s="3"/>
      <c r="AA129" s="3"/>
    </row>
    <row r="130">
      <c r="A130" s="20"/>
      <c r="B130" s="20"/>
      <c r="C130" s="20"/>
      <c r="D130" s="20"/>
      <c r="E130" s="20"/>
      <c r="F130" s="20"/>
      <c r="G130" s="20"/>
      <c r="H130" s="20"/>
      <c r="I130" s="3"/>
      <c r="J130" s="3"/>
      <c r="K130" s="3"/>
      <c r="L130" s="3"/>
      <c r="M130" s="3"/>
      <c r="N130" s="3"/>
      <c r="O130" s="3"/>
      <c r="P130" s="3"/>
      <c r="Q130" s="3"/>
      <c r="R130" s="3"/>
      <c r="S130" s="3"/>
      <c r="T130" s="3"/>
      <c r="U130" s="3"/>
      <c r="V130" s="3"/>
      <c r="W130" s="3"/>
      <c r="X130" s="3"/>
      <c r="Y130" s="3"/>
      <c r="Z130" s="3"/>
      <c r="AA130" s="3"/>
    </row>
    <row r="131">
      <c r="A131" s="20"/>
      <c r="B131" s="20"/>
      <c r="C131" s="20"/>
      <c r="D131" s="20"/>
      <c r="E131" s="20"/>
      <c r="F131" s="20"/>
      <c r="G131" s="20"/>
      <c r="H131" s="20"/>
      <c r="I131" s="3"/>
      <c r="J131" s="3"/>
      <c r="K131" s="3"/>
      <c r="L131" s="3"/>
      <c r="M131" s="3"/>
      <c r="N131" s="3"/>
      <c r="O131" s="3"/>
      <c r="P131" s="3"/>
      <c r="Q131" s="3"/>
      <c r="R131" s="3"/>
      <c r="S131" s="3"/>
      <c r="T131" s="3"/>
      <c r="U131" s="3"/>
      <c r="V131" s="3"/>
      <c r="W131" s="3"/>
      <c r="X131" s="3"/>
      <c r="Y131" s="3"/>
      <c r="Z131" s="3"/>
      <c r="AA131" s="3"/>
    </row>
    <row r="132">
      <c r="A132" s="20"/>
      <c r="B132" s="20"/>
      <c r="C132" s="20"/>
      <c r="D132" s="20"/>
      <c r="E132" s="20"/>
      <c r="F132" s="20"/>
      <c r="G132" s="20"/>
      <c r="H132" s="20"/>
      <c r="I132" s="3"/>
      <c r="J132" s="3"/>
      <c r="K132" s="3"/>
      <c r="L132" s="3"/>
      <c r="M132" s="3"/>
      <c r="N132" s="3"/>
      <c r="O132" s="3"/>
      <c r="P132" s="3"/>
      <c r="Q132" s="3"/>
      <c r="R132" s="3"/>
      <c r="S132" s="3"/>
      <c r="T132" s="3"/>
      <c r="U132" s="3"/>
      <c r="V132" s="3"/>
      <c r="W132" s="3"/>
      <c r="X132" s="3"/>
      <c r="Y132" s="3"/>
      <c r="Z132" s="3"/>
      <c r="AA132" s="3"/>
    </row>
    <row r="133">
      <c r="A133" s="20"/>
      <c r="B133" s="20"/>
      <c r="C133" s="20"/>
      <c r="D133" s="20"/>
      <c r="E133" s="20"/>
      <c r="F133" s="20"/>
      <c r="G133" s="20"/>
      <c r="H133" s="20"/>
      <c r="I133" s="3"/>
      <c r="J133" s="3"/>
      <c r="K133" s="3"/>
      <c r="L133" s="3"/>
      <c r="M133" s="3"/>
      <c r="N133" s="3"/>
      <c r="O133" s="3"/>
      <c r="P133" s="3"/>
      <c r="Q133" s="3"/>
      <c r="R133" s="3"/>
      <c r="S133" s="3"/>
      <c r="T133" s="3"/>
      <c r="U133" s="3"/>
      <c r="V133" s="3"/>
      <c r="W133" s="3"/>
      <c r="X133" s="3"/>
      <c r="Y133" s="3"/>
      <c r="Z133" s="3"/>
      <c r="AA133" s="3"/>
    </row>
    <row r="134">
      <c r="A134" s="20"/>
      <c r="B134" s="20"/>
      <c r="C134" s="20"/>
      <c r="D134" s="20"/>
      <c r="E134" s="20"/>
      <c r="F134" s="20"/>
      <c r="G134" s="20"/>
      <c r="H134" s="20"/>
      <c r="I134" s="3"/>
      <c r="J134" s="3"/>
      <c r="K134" s="3"/>
      <c r="L134" s="3"/>
      <c r="M134" s="3"/>
      <c r="N134" s="3"/>
      <c r="O134" s="3"/>
      <c r="P134" s="3"/>
      <c r="Q134" s="3"/>
      <c r="R134" s="3"/>
      <c r="S134" s="3"/>
      <c r="T134" s="3"/>
      <c r="U134" s="3"/>
      <c r="V134" s="3"/>
      <c r="W134" s="3"/>
      <c r="X134" s="3"/>
      <c r="Y134" s="3"/>
      <c r="Z134" s="3"/>
      <c r="AA134" s="3"/>
    </row>
    <row r="135">
      <c r="A135" s="20"/>
      <c r="B135" s="20"/>
      <c r="C135" s="20"/>
      <c r="D135" s="20"/>
      <c r="E135" s="20"/>
      <c r="F135" s="20"/>
      <c r="G135" s="20"/>
      <c r="H135" s="20"/>
      <c r="I135" s="3"/>
      <c r="J135" s="3"/>
      <c r="K135" s="3"/>
      <c r="L135" s="3"/>
      <c r="M135" s="3"/>
      <c r="N135" s="3"/>
      <c r="O135" s="3"/>
      <c r="P135" s="3"/>
      <c r="Q135" s="3"/>
      <c r="R135" s="3"/>
      <c r="S135" s="3"/>
      <c r="T135" s="3"/>
      <c r="U135" s="3"/>
      <c r="V135" s="3"/>
      <c r="W135" s="3"/>
      <c r="X135" s="3"/>
      <c r="Y135" s="3"/>
      <c r="Z135" s="3"/>
      <c r="AA135" s="3"/>
    </row>
    <row r="136">
      <c r="A136" s="20"/>
      <c r="B136" s="20"/>
      <c r="C136" s="20"/>
      <c r="D136" s="20"/>
      <c r="E136" s="20"/>
      <c r="F136" s="20"/>
      <c r="G136" s="20"/>
      <c r="H136" s="20"/>
      <c r="I136" s="3"/>
      <c r="J136" s="3"/>
      <c r="K136" s="3"/>
      <c r="L136" s="3"/>
      <c r="M136" s="3"/>
      <c r="N136" s="3"/>
      <c r="O136" s="3"/>
      <c r="P136" s="3"/>
      <c r="Q136" s="3"/>
      <c r="R136" s="3"/>
      <c r="S136" s="3"/>
      <c r="T136" s="3"/>
      <c r="U136" s="3"/>
      <c r="V136" s="3"/>
      <c r="W136" s="3"/>
      <c r="X136" s="3"/>
      <c r="Y136" s="3"/>
      <c r="Z136" s="3"/>
      <c r="AA136" s="3"/>
    </row>
    <row r="137">
      <c r="A137" s="20"/>
      <c r="B137" s="20"/>
      <c r="C137" s="20"/>
      <c r="D137" s="20"/>
      <c r="E137" s="20"/>
      <c r="F137" s="20"/>
      <c r="G137" s="20"/>
      <c r="H137" s="20"/>
      <c r="I137" s="3"/>
      <c r="J137" s="3"/>
      <c r="K137" s="3"/>
      <c r="L137" s="3"/>
      <c r="M137" s="3"/>
      <c r="N137" s="3"/>
      <c r="O137" s="3"/>
      <c r="P137" s="3"/>
      <c r="Q137" s="3"/>
      <c r="R137" s="3"/>
      <c r="S137" s="3"/>
      <c r="T137" s="3"/>
      <c r="U137" s="3"/>
      <c r="V137" s="3"/>
      <c r="W137" s="3"/>
      <c r="X137" s="3"/>
      <c r="Y137" s="3"/>
      <c r="Z137" s="3"/>
      <c r="AA137" s="3"/>
    </row>
    <row r="138">
      <c r="A138" s="20"/>
      <c r="B138" s="20"/>
      <c r="C138" s="20"/>
      <c r="D138" s="20"/>
      <c r="E138" s="20"/>
      <c r="F138" s="20"/>
      <c r="G138" s="20"/>
      <c r="H138" s="20"/>
      <c r="I138" s="3"/>
      <c r="J138" s="3"/>
      <c r="K138" s="3"/>
      <c r="L138" s="3"/>
      <c r="M138" s="3"/>
      <c r="N138" s="3"/>
      <c r="O138" s="3"/>
      <c r="P138" s="3"/>
      <c r="Q138" s="3"/>
      <c r="R138" s="3"/>
      <c r="S138" s="3"/>
      <c r="T138" s="3"/>
      <c r="U138" s="3"/>
      <c r="V138" s="3"/>
      <c r="W138" s="3"/>
      <c r="X138" s="3"/>
      <c r="Y138" s="3"/>
      <c r="Z138" s="3"/>
      <c r="AA138" s="3"/>
    </row>
    <row r="139">
      <c r="A139" s="20"/>
      <c r="B139" s="20"/>
      <c r="C139" s="20"/>
      <c r="D139" s="20"/>
      <c r="E139" s="20"/>
      <c r="F139" s="20"/>
      <c r="G139" s="20"/>
      <c r="H139" s="20"/>
      <c r="I139" s="3"/>
      <c r="J139" s="3"/>
      <c r="K139" s="3"/>
      <c r="L139" s="3"/>
      <c r="M139" s="3"/>
      <c r="N139" s="3"/>
      <c r="O139" s="3"/>
      <c r="P139" s="3"/>
      <c r="Q139" s="3"/>
      <c r="R139" s="3"/>
      <c r="S139" s="3"/>
      <c r="T139" s="3"/>
      <c r="U139" s="3"/>
      <c r="V139" s="3"/>
      <c r="W139" s="3"/>
      <c r="X139" s="3"/>
      <c r="Y139" s="3"/>
      <c r="Z139" s="3"/>
      <c r="AA139" s="3"/>
    </row>
    <row r="140">
      <c r="A140" s="20"/>
      <c r="B140" s="20"/>
      <c r="C140" s="20"/>
      <c r="D140" s="20"/>
      <c r="E140" s="20"/>
      <c r="F140" s="20"/>
      <c r="G140" s="20"/>
      <c r="H140" s="20"/>
      <c r="I140" s="3"/>
      <c r="J140" s="3"/>
      <c r="K140" s="3"/>
      <c r="L140" s="3"/>
      <c r="M140" s="3"/>
      <c r="N140" s="3"/>
      <c r="O140" s="3"/>
      <c r="P140" s="3"/>
      <c r="Q140" s="3"/>
      <c r="R140" s="3"/>
      <c r="S140" s="3"/>
      <c r="T140" s="3"/>
      <c r="U140" s="3"/>
      <c r="V140" s="3"/>
      <c r="W140" s="3"/>
      <c r="X140" s="3"/>
      <c r="Y140" s="3"/>
      <c r="Z140" s="3"/>
      <c r="AA140" s="3"/>
    </row>
    <row r="141">
      <c r="A141" s="20"/>
      <c r="B141" s="20"/>
      <c r="C141" s="20"/>
      <c r="D141" s="20"/>
      <c r="E141" s="20"/>
      <c r="F141" s="20"/>
      <c r="G141" s="20"/>
      <c r="H141" s="20"/>
      <c r="I141" s="3"/>
      <c r="J141" s="3"/>
      <c r="K141" s="3"/>
      <c r="L141" s="3"/>
      <c r="M141" s="3"/>
      <c r="N141" s="3"/>
      <c r="O141" s="3"/>
      <c r="P141" s="3"/>
      <c r="Q141" s="3"/>
      <c r="R141" s="3"/>
      <c r="S141" s="3"/>
      <c r="T141" s="3"/>
      <c r="U141" s="3"/>
      <c r="V141" s="3"/>
      <c r="W141" s="3"/>
      <c r="X141" s="3"/>
      <c r="Y141" s="3"/>
      <c r="Z141" s="3"/>
      <c r="AA141" s="3"/>
    </row>
    <row r="142">
      <c r="A142" s="20"/>
      <c r="B142" s="20"/>
      <c r="C142" s="20"/>
      <c r="D142" s="20"/>
      <c r="E142" s="20"/>
      <c r="F142" s="20"/>
      <c r="G142" s="20"/>
      <c r="H142" s="20"/>
      <c r="I142" s="3"/>
      <c r="J142" s="3"/>
      <c r="K142" s="3"/>
      <c r="L142" s="3"/>
      <c r="M142" s="3"/>
      <c r="N142" s="3"/>
      <c r="O142" s="3"/>
      <c r="P142" s="3"/>
      <c r="Q142" s="3"/>
      <c r="R142" s="3"/>
      <c r="S142" s="3"/>
      <c r="T142" s="3"/>
      <c r="U142" s="3"/>
      <c r="V142" s="3"/>
      <c r="W142" s="3"/>
      <c r="X142" s="3"/>
      <c r="Y142" s="3"/>
      <c r="Z142" s="3"/>
      <c r="AA142" s="3"/>
    </row>
    <row r="143">
      <c r="A143" s="20"/>
      <c r="B143" s="20"/>
      <c r="C143" s="20"/>
      <c r="D143" s="20"/>
      <c r="E143" s="20"/>
      <c r="F143" s="20"/>
      <c r="G143" s="20"/>
      <c r="H143" s="20"/>
      <c r="I143" s="3"/>
      <c r="J143" s="3"/>
      <c r="K143" s="3"/>
      <c r="L143" s="3"/>
      <c r="M143" s="3"/>
      <c r="N143" s="3"/>
      <c r="O143" s="3"/>
      <c r="P143" s="3"/>
      <c r="Q143" s="3"/>
      <c r="R143" s="3"/>
      <c r="S143" s="3"/>
      <c r="T143" s="3"/>
      <c r="U143" s="3"/>
      <c r="V143" s="3"/>
      <c r="W143" s="3"/>
      <c r="X143" s="3"/>
      <c r="Y143" s="3"/>
      <c r="Z143" s="3"/>
      <c r="AA143" s="3"/>
    </row>
    <row r="144">
      <c r="A144" s="20"/>
      <c r="B144" s="20"/>
      <c r="C144" s="20"/>
      <c r="D144" s="20"/>
      <c r="E144" s="20"/>
      <c r="F144" s="20"/>
      <c r="G144" s="20"/>
      <c r="H144" s="20"/>
      <c r="I144" s="3"/>
      <c r="J144" s="3"/>
      <c r="K144" s="3"/>
      <c r="L144" s="3"/>
      <c r="M144" s="3"/>
      <c r="N144" s="3"/>
      <c r="O144" s="3"/>
      <c r="P144" s="3"/>
      <c r="Q144" s="3"/>
      <c r="R144" s="3"/>
      <c r="S144" s="3"/>
      <c r="T144" s="3"/>
      <c r="U144" s="3"/>
      <c r="V144" s="3"/>
      <c r="W144" s="3"/>
      <c r="X144" s="3"/>
      <c r="Y144" s="3"/>
      <c r="Z144" s="3"/>
      <c r="AA144" s="3"/>
    </row>
    <row r="145">
      <c r="A145" s="20"/>
      <c r="B145" s="20"/>
      <c r="C145" s="20"/>
      <c r="D145" s="20"/>
      <c r="E145" s="20"/>
      <c r="F145" s="20"/>
      <c r="G145" s="20"/>
      <c r="H145" s="20"/>
      <c r="I145" s="3"/>
      <c r="J145" s="3"/>
      <c r="K145" s="3"/>
      <c r="L145" s="3"/>
      <c r="M145" s="3"/>
      <c r="N145" s="3"/>
      <c r="O145" s="3"/>
      <c r="P145" s="3"/>
      <c r="Q145" s="3"/>
      <c r="R145" s="3"/>
      <c r="S145" s="3"/>
      <c r="T145" s="3"/>
      <c r="U145" s="3"/>
      <c r="V145" s="3"/>
      <c r="W145" s="3"/>
      <c r="X145" s="3"/>
      <c r="Y145" s="3"/>
      <c r="Z145" s="3"/>
      <c r="AA145" s="3"/>
    </row>
    <row r="146">
      <c r="A146" s="20"/>
      <c r="B146" s="20"/>
      <c r="C146" s="20"/>
      <c r="D146" s="20"/>
      <c r="E146" s="20"/>
      <c r="F146" s="20"/>
      <c r="G146" s="20"/>
      <c r="H146" s="20"/>
      <c r="I146" s="3"/>
      <c r="J146" s="3"/>
      <c r="K146" s="3"/>
      <c r="L146" s="3"/>
      <c r="M146" s="3"/>
      <c r="N146" s="3"/>
      <c r="O146" s="3"/>
      <c r="P146" s="3"/>
      <c r="Q146" s="3"/>
      <c r="R146" s="3"/>
      <c r="S146" s="3"/>
      <c r="T146" s="3"/>
      <c r="U146" s="3"/>
      <c r="V146" s="3"/>
      <c r="W146" s="3"/>
      <c r="X146" s="3"/>
      <c r="Y146" s="3"/>
      <c r="Z146" s="3"/>
      <c r="AA146" s="3"/>
    </row>
    <row r="147">
      <c r="A147" s="20"/>
      <c r="B147" s="20"/>
      <c r="C147" s="20"/>
      <c r="D147" s="20"/>
      <c r="E147" s="20"/>
      <c r="F147" s="20"/>
      <c r="G147" s="20"/>
      <c r="H147" s="20"/>
      <c r="I147" s="3"/>
      <c r="J147" s="3"/>
      <c r="K147" s="3"/>
      <c r="L147" s="3"/>
      <c r="M147" s="3"/>
      <c r="N147" s="3"/>
      <c r="O147" s="3"/>
      <c r="P147" s="3"/>
      <c r="Q147" s="3"/>
      <c r="R147" s="3"/>
      <c r="S147" s="3"/>
      <c r="T147" s="3"/>
      <c r="U147" s="3"/>
      <c r="V147" s="3"/>
      <c r="W147" s="3"/>
      <c r="X147" s="3"/>
      <c r="Y147" s="3"/>
      <c r="Z147" s="3"/>
      <c r="AA147" s="3"/>
    </row>
    <row r="148">
      <c r="A148" s="20"/>
      <c r="B148" s="20"/>
      <c r="C148" s="20"/>
      <c r="D148" s="20"/>
      <c r="E148" s="20"/>
      <c r="F148" s="20"/>
      <c r="G148" s="20"/>
      <c r="H148" s="20"/>
      <c r="I148" s="3"/>
      <c r="J148" s="3"/>
      <c r="K148" s="3"/>
      <c r="L148" s="3"/>
      <c r="M148" s="3"/>
      <c r="N148" s="3"/>
      <c r="O148" s="3"/>
      <c r="P148" s="3"/>
      <c r="Q148" s="3"/>
      <c r="R148" s="3"/>
      <c r="S148" s="3"/>
      <c r="T148" s="3"/>
      <c r="U148" s="3"/>
      <c r="V148" s="3"/>
      <c r="W148" s="3"/>
      <c r="X148" s="3"/>
      <c r="Y148" s="3"/>
      <c r="Z148" s="3"/>
      <c r="AA148" s="3"/>
    </row>
    <row r="149">
      <c r="A149" s="20"/>
      <c r="B149" s="20"/>
      <c r="C149" s="20"/>
      <c r="D149" s="20"/>
      <c r="E149" s="20"/>
      <c r="F149" s="20"/>
      <c r="G149" s="20"/>
      <c r="H149" s="20"/>
      <c r="I149" s="3"/>
      <c r="J149" s="3"/>
      <c r="K149" s="3"/>
      <c r="L149" s="3"/>
      <c r="M149" s="3"/>
      <c r="N149" s="3"/>
      <c r="O149" s="3"/>
      <c r="P149" s="3"/>
      <c r="Q149" s="3"/>
      <c r="R149" s="3"/>
      <c r="S149" s="3"/>
      <c r="T149" s="3"/>
      <c r="U149" s="3"/>
      <c r="V149" s="3"/>
      <c r="W149" s="3"/>
      <c r="X149" s="3"/>
      <c r="Y149" s="3"/>
      <c r="Z149" s="3"/>
      <c r="AA149" s="3"/>
    </row>
    <row r="150">
      <c r="A150" s="20"/>
      <c r="B150" s="20"/>
      <c r="C150" s="20"/>
      <c r="D150" s="20"/>
      <c r="E150" s="20"/>
      <c r="F150" s="20"/>
      <c r="G150" s="20"/>
      <c r="H150" s="20"/>
      <c r="I150" s="3"/>
      <c r="J150" s="3"/>
      <c r="K150" s="3"/>
      <c r="L150" s="3"/>
      <c r="M150" s="3"/>
      <c r="N150" s="3"/>
      <c r="O150" s="3"/>
      <c r="P150" s="3"/>
      <c r="Q150" s="3"/>
      <c r="R150" s="3"/>
      <c r="S150" s="3"/>
      <c r="T150" s="3"/>
      <c r="U150" s="3"/>
      <c r="V150" s="3"/>
      <c r="W150" s="3"/>
      <c r="X150" s="3"/>
      <c r="Y150" s="3"/>
      <c r="Z150" s="3"/>
      <c r="AA150" s="3"/>
    </row>
    <row r="151">
      <c r="A151" s="20"/>
      <c r="B151" s="20"/>
      <c r="C151" s="20"/>
      <c r="D151" s="20"/>
      <c r="E151" s="20"/>
      <c r="F151" s="20"/>
      <c r="G151" s="20"/>
      <c r="H151" s="20"/>
      <c r="I151" s="3"/>
      <c r="J151" s="3"/>
      <c r="K151" s="3"/>
      <c r="L151" s="3"/>
      <c r="M151" s="3"/>
      <c r="N151" s="3"/>
      <c r="O151" s="3"/>
      <c r="P151" s="3"/>
      <c r="Q151" s="3"/>
      <c r="R151" s="3"/>
      <c r="S151" s="3"/>
      <c r="T151" s="3"/>
      <c r="U151" s="3"/>
      <c r="V151" s="3"/>
      <c r="W151" s="3"/>
      <c r="X151" s="3"/>
      <c r="Y151" s="3"/>
      <c r="Z151" s="3"/>
      <c r="AA151" s="3"/>
    </row>
    <row r="152">
      <c r="A152" s="20"/>
      <c r="B152" s="20"/>
      <c r="C152" s="20"/>
      <c r="D152" s="20"/>
      <c r="E152" s="20"/>
      <c r="F152" s="20"/>
      <c r="G152" s="20"/>
      <c r="H152" s="20"/>
      <c r="I152" s="3"/>
      <c r="J152" s="3"/>
      <c r="K152" s="3"/>
      <c r="L152" s="3"/>
      <c r="M152" s="3"/>
      <c r="N152" s="3"/>
      <c r="O152" s="3"/>
      <c r="P152" s="3"/>
      <c r="Q152" s="3"/>
      <c r="R152" s="3"/>
      <c r="S152" s="3"/>
      <c r="T152" s="3"/>
      <c r="U152" s="3"/>
      <c r="V152" s="3"/>
      <c r="W152" s="3"/>
      <c r="X152" s="3"/>
      <c r="Y152" s="3"/>
      <c r="Z152" s="3"/>
      <c r="AA152" s="3"/>
    </row>
    <row r="153">
      <c r="A153" s="20"/>
      <c r="B153" s="20"/>
      <c r="C153" s="20"/>
      <c r="D153" s="20"/>
      <c r="E153" s="20"/>
      <c r="F153" s="20"/>
      <c r="G153" s="20"/>
      <c r="H153" s="20"/>
      <c r="I153" s="3"/>
      <c r="J153" s="3"/>
      <c r="K153" s="3"/>
      <c r="L153" s="3"/>
      <c r="M153" s="3"/>
      <c r="N153" s="3"/>
      <c r="O153" s="3"/>
      <c r="P153" s="3"/>
      <c r="Q153" s="3"/>
      <c r="R153" s="3"/>
      <c r="S153" s="3"/>
      <c r="T153" s="3"/>
      <c r="U153" s="3"/>
      <c r="V153" s="3"/>
      <c r="W153" s="3"/>
      <c r="X153" s="3"/>
      <c r="Y153" s="3"/>
      <c r="Z153" s="3"/>
      <c r="AA153" s="3"/>
    </row>
    <row r="154">
      <c r="A154" s="20"/>
      <c r="B154" s="20"/>
      <c r="C154" s="20"/>
      <c r="D154" s="20"/>
      <c r="E154" s="20"/>
      <c r="F154" s="20"/>
      <c r="G154" s="20"/>
      <c r="H154" s="20"/>
      <c r="I154" s="3"/>
      <c r="J154" s="3"/>
      <c r="K154" s="3"/>
      <c r="L154" s="3"/>
      <c r="M154" s="3"/>
      <c r="N154" s="3"/>
      <c r="O154" s="3"/>
      <c r="P154" s="3"/>
      <c r="Q154" s="3"/>
      <c r="R154" s="3"/>
      <c r="S154" s="3"/>
      <c r="T154" s="3"/>
      <c r="U154" s="3"/>
      <c r="V154" s="3"/>
      <c r="W154" s="3"/>
      <c r="X154" s="3"/>
      <c r="Y154" s="3"/>
      <c r="Z154" s="3"/>
      <c r="AA154" s="3"/>
    </row>
    <row r="155">
      <c r="A155" s="20"/>
      <c r="B155" s="20"/>
      <c r="C155" s="20"/>
      <c r="D155" s="20"/>
      <c r="E155" s="20"/>
      <c r="F155" s="20"/>
      <c r="G155" s="20"/>
      <c r="H155" s="20"/>
      <c r="I155" s="3"/>
      <c r="J155" s="3"/>
      <c r="K155" s="3"/>
      <c r="L155" s="3"/>
      <c r="M155" s="3"/>
      <c r="N155" s="3"/>
      <c r="O155" s="3"/>
      <c r="P155" s="3"/>
      <c r="Q155" s="3"/>
      <c r="R155" s="3"/>
      <c r="S155" s="3"/>
      <c r="T155" s="3"/>
      <c r="U155" s="3"/>
      <c r="V155" s="3"/>
      <c r="W155" s="3"/>
      <c r="X155" s="3"/>
      <c r="Y155" s="3"/>
      <c r="Z155" s="3"/>
      <c r="AA155" s="3"/>
    </row>
    <row r="156">
      <c r="A156" s="20"/>
      <c r="B156" s="20"/>
      <c r="C156" s="20"/>
      <c r="D156" s="20"/>
      <c r="E156" s="20"/>
      <c r="F156" s="20"/>
      <c r="G156" s="20"/>
      <c r="H156" s="20"/>
      <c r="I156" s="3"/>
      <c r="J156" s="3"/>
      <c r="K156" s="3"/>
      <c r="L156" s="3"/>
      <c r="M156" s="3"/>
      <c r="N156" s="3"/>
      <c r="O156" s="3"/>
      <c r="P156" s="3"/>
      <c r="Q156" s="3"/>
      <c r="R156" s="3"/>
      <c r="S156" s="3"/>
      <c r="T156" s="3"/>
      <c r="U156" s="3"/>
      <c r="V156" s="3"/>
      <c r="W156" s="3"/>
      <c r="X156" s="3"/>
      <c r="Y156" s="3"/>
      <c r="Z156" s="3"/>
      <c r="AA156" s="3"/>
    </row>
    <row r="157">
      <c r="A157" s="20"/>
      <c r="B157" s="20"/>
      <c r="C157" s="20"/>
      <c r="D157" s="20"/>
      <c r="E157" s="20"/>
      <c r="F157" s="20"/>
      <c r="G157" s="20"/>
      <c r="H157" s="20"/>
      <c r="I157" s="3"/>
      <c r="J157" s="3"/>
      <c r="K157" s="3"/>
      <c r="L157" s="3"/>
      <c r="M157" s="3"/>
      <c r="N157" s="3"/>
      <c r="O157" s="3"/>
      <c r="P157" s="3"/>
      <c r="Q157" s="3"/>
      <c r="R157" s="3"/>
      <c r="S157" s="3"/>
      <c r="T157" s="3"/>
      <c r="U157" s="3"/>
      <c r="V157" s="3"/>
      <c r="W157" s="3"/>
      <c r="X157" s="3"/>
      <c r="Y157" s="3"/>
      <c r="Z157" s="3"/>
      <c r="AA157" s="3"/>
    </row>
    <row r="158">
      <c r="A158" s="20"/>
      <c r="B158" s="20"/>
      <c r="C158" s="20"/>
      <c r="D158" s="20"/>
      <c r="E158" s="20"/>
      <c r="F158" s="20"/>
      <c r="G158" s="20"/>
      <c r="H158" s="20"/>
      <c r="I158" s="3"/>
      <c r="J158" s="3"/>
      <c r="K158" s="3"/>
      <c r="L158" s="3"/>
      <c r="M158" s="3"/>
      <c r="N158" s="3"/>
      <c r="O158" s="3"/>
      <c r="P158" s="3"/>
      <c r="Q158" s="3"/>
      <c r="R158" s="3"/>
      <c r="S158" s="3"/>
      <c r="T158" s="3"/>
      <c r="U158" s="3"/>
      <c r="V158" s="3"/>
      <c r="W158" s="3"/>
      <c r="X158" s="3"/>
      <c r="Y158" s="3"/>
      <c r="Z158" s="3"/>
      <c r="AA158" s="3"/>
    </row>
    <row r="159">
      <c r="A159" s="20"/>
      <c r="B159" s="20"/>
      <c r="C159" s="20"/>
      <c r="D159" s="20"/>
      <c r="E159" s="20"/>
      <c r="F159" s="20"/>
      <c r="G159" s="20"/>
      <c r="H159" s="20"/>
      <c r="I159" s="3"/>
      <c r="J159" s="3"/>
      <c r="K159" s="3"/>
      <c r="L159" s="3"/>
      <c r="M159" s="3"/>
      <c r="N159" s="3"/>
      <c r="O159" s="3"/>
      <c r="P159" s="3"/>
      <c r="Q159" s="3"/>
      <c r="R159" s="3"/>
      <c r="S159" s="3"/>
      <c r="T159" s="3"/>
      <c r="U159" s="3"/>
      <c r="V159" s="3"/>
      <c r="W159" s="3"/>
      <c r="X159" s="3"/>
      <c r="Y159" s="3"/>
      <c r="Z159" s="3"/>
      <c r="AA159" s="3"/>
    </row>
    <row r="160">
      <c r="A160" s="20"/>
      <c r="B160" s="20"/>
      <c r="C160" s="20"/>
      <c r="D160" s="20"/>
      <c r="E160" s="20"/>
      <c r="F160" s="20"/>
      <c r="G160" s="20"/>
      <c r="H160" s="20"/>
      <c r="I160" s="3"/>
      <c r="J160" s="3"/>
      <c r="K160" s="3"/>
      <c r="L160" s="3"/>
      <c r="M160" s="3"/>
      <c r="N160" s="3"/>
      <c r="O160" s="3"/>
      <c r="P160" s="3"/>
      <c r="Q160" s="3"/>
      <c r="R160" s="3"/>
      <c r="S160" s="3"/>
      <c r="T160" s="3"/>
      <c r="U160" s="3"/>
      <c r="V160" s="3"/>
      <c r="W160" s="3"/>
      <c r="X160" s="3"/>
      <c r="Y160" s="3"/>
      <c r="Z160" s="3"/>
      <c r="AA160" s="3"/>
    </row>
    <row r="161">
      <c r="A161" s="20"/>
      <c r="B161" s="20"/>
      <c r="C161" s="20"/>
      <c r="D161" s="20"/>
      <c r="E161" s="20"/>
      <c r="F161" s="20"/>
      <c r="G161" s="20"/>
      <c r="H161" s="20"/>
      <c r="I161" s="3"/>
      <c r="J161" s="3"/>
      <c r="K161" s="3"/>
      <c r="L161" s="3"/>
      <c r="M161" s="3"/>
      <c r="N161" s="3"/>
      <c r="O161" s="3"/>
      <c r="P161" s="3"/>
      <c r="Q161" s="3"/>
      <c r="R161" s="3"/>
      <c r="S161" s="3"/>
      <c r="T161" s="3"/>
      <c r="U161" s="3"/>
      <c r="V161" s="3"/>
      <c r="W161" s="3"/>
      <c r="X161" s="3"/>
      <c r="Y161" s="3"/>
      <c r="Z161" s="3"/>
      <c r="AA161" s="3"/>
    </row>
    <row r="162">
      <c r="A162" s="20"/>
      <c r="B162" s="20"/>
      <c r="C162" s="20"/>
      <c r="D162" s="20"/>
      <c r="E162" s="20"/>
      <c r="F162" s="20"/>
      <c r="G162" s="20"/>
      <c r="H162" s="20"/>
      <c r="I162" s="3"/>
      <c r="J162" s="3"/>
      <c r="K162" s="3"/>
      <c r="L162" s="3"/>
      <c r="M162" s="3"/>
      <c r="N162" s="3"/>
      <c r="O162" s="3"/>
      <c r="P162" s="3"/>
      <c r="Q162" s="3"/>
      <c r="R162" s="3"/>
      <c r="S162" s="3"/>
      <c r="T162" s="3"/>
      <c r="U162" s="3"/>
      <c r="V162" s="3"/>
      <c r="W162" s="3"/>
      <c r="X162" s="3"/>
      <c r="Y162" s="3"/>
      <c r="Z162" s="3"/>
      <c r="AA162" s="3"/>
    </row>
    <row r="163">
      <c r="A163" s="20"/>
      <c r="B163" s="20"/>
      <c r="C163" s="20"/>
      <c r="D163" s="20"/>
      <c r="E163" s="20"/>
      <c r="F163" s="20"/>
      <c r="G163" s="20"/>
      <c r="H163" s="20"/>
      <c r="I163" s="3"/>
      <c r="J163" s="3"/>
      <c r="K163" s="3"/>
      <c r="L163" s="3"/>
      <c r="M163" s="3"/>
      <c r="N163" s="3"/>
      <c r="O163" s="3"/>
      <c r="P163" s="3"/>
      <c r="Q163" s="3"/>
      <c r="R163" s="3"/>
      <c r="S163" s="3"/>
      <c r="T163" s="3"/>
      <c r="U163" s="3"/>
      <c r="V163" s="3"/>
      <c r="W163" s="3"/>
      <c r="X163" s="3"/>
      <c r="Y163" s="3"/>
      <c r="Z163" s="3"/>
      <c r="AA163" s="3"/>
    </row>
    <row r="164">
      <c r="A164" s="20"/>
      <c r="B164" s="20"/>
      <c r="C164" s="20"/>
      <c r="D164" s="20"/>
      <c r="E164" s="20"/>
      <c r="F164" s="20"/>
      <c r="G164" s="20"/>
      <c r="H164" s="20"/>
      <c r="I164" s="3"/>
      <c r="J164" s="3"/>
      <c r="K164" s="3"/>
      <c r="L164" s="3"/>
      <c r="M164" s="3"/>
      <c r="N164" s="3"/>
      <c r="O164" s="3"/>
      <c r="P164" s="3"/>
      <c r="Q164" s="3"/>
      <c r="R164" s="3"/>
      <c r="S164" s="3"/>
      <c r="T164" s="3"/>
      <c r="U164" s="3"/>
      <c r="V164" s="3"/>
      <c r="W164" s="3"/>
      <c r="X164" s="3"/>
      <c r="Y164" s="3"/>
      <c r="Z164" s="3"/>
      <c r="AA164" s="3"/>
    </row>
    <row r="165">
      <c r="A165" s="20"/>
      <c r="B165" s="20"/>
      <c r="C165" s="20"/>
      <c r="D165" s="20"/>
      <c r="E165" s="20"/>
      <c r="F165" s="20"/>
      <c r="G165" s="20"/>
      <c r="H165" s="20"/>
      <c r="I165" s="3"/>
      <c r="J165" s="3"/>
      <c r="K165" s="3"/>
      <c r="L165" s="3"/>
      <c r="M165" s="3"/>
      <c r="N165" s="3"/>
      <c r="O165" s="3"/>
      <c r="P165" s="3"/>
      <c r="Q165" s="3"/>
      <c r="R165" s="3"/>
      <c r="S165" s="3"/>
      <c r="T165" s="3"/>
      <c r="U165" s="3"/>
      <c r="V165" s="3"/>
      <c r="W165" s="3"/>
      <c r="X165" s="3"/>
      <c r="Y165" s="3"/>
      <c r="Z165" s="3"/>
      <c r="AA165" s="3"/>
    </row>
    <row r="166">
      <c r="A166" s="20"/>
      <c r="B166" s="20"/>
      <c r="C166" s="20"/>
      <c r="D166" s="20"/>
      <c r="E166" s="20"/>
      <c r="F166" s="20"/>
      <c r="G166" s="20"/>
      <c r="H166" s="20"/>
      <c r="I166" s="3"/>
      <c r="J166" s="3"/>
      <c r="K166" s="3"/>
      <c r="L166" s="3"/>
      <c r="M166" s="3"/>
      <c r="N166" s="3"/>
      <c r="O166" s="3"/>
      <c r="P166" s="3"/>
      <c r="Q166" s="3"/>
      <c r="R166" s="3"/>
      <c r="S166" s="3"/>
      <c r="T166" s="3"/>
      <c r="U166" s="3"/>
      <c r="V166" s="3"/>
      <c r="W166" s="3"/>
      <c r="X166" s="3"/>
      <c r="Y166" s="3"/>
      <c r="Z166" s="3"/>
      <c r="AA166" s="3"/>
    </row>
    <row r="167">
      <c r="A167" s="20"/>
      <c r="B167" s="20"/>
      <c r="C167" s="20"/>
      <c r="D167" s="20"/>
      <c r="E167" s="20"/>
      <c r="F167" s="20"/>
      <c r="G167" s="20"/>
      <c r="H167" s="20"/>
      <c r="I167" s="3"/>
      <c r="J167" s="3"/>
      <c r="K167" s="3"/>
      <c r="L167" s="3"/>
      <c r="M167" s="3"/>
      <c r="N167" s="3"/>
      <c r="O167" s="3"/>
      <c r="P167" s="3"/>
      <c r="Q167" s="3"/>
      <c r="R167" s="3"/>
      <c r="S167" s="3"/>
      <c r="T167" s="3"/>
      <c r="U167" s="3"/>
      <c r="V167" s="3"/>
      <c r="W167" s="3"/>
      <c r="X167" s="3"/>
      <c r="Y167" s="3"/>
      <c r="Z167" s="3"/>
      <c r="AA167" s="3"/>
    </row>
    <row r="168">
      <c r="A168" s="20"/>
      <c r="B168" s="20"/>
      <c r="C168" s="20"/>
      <c r="D168" s="20"/>
      <c r="E168" s="20"/>
      <c r="F168" s="20"/>
      <c r="G168" s="20"/>
      <c r="H168" s="20"/>
      <c r="I168" s="3"/>
      <c r="J168" s="3"/>
      <c r="K168" s="3"/>
      <c r="L168" s="3"/>
      <c r="M168" s="3"/>
      <c r="N168" s="3"/>
      <c r="O168" s="3"/>
      <c r="P168" s="3"/>
      <c r="Q168" s="3"/>
      <c r="R168" s="3"/>
      <c r="S168" s="3"/>
      <c r="T168" s="3"/>
      <c r="U168" s="3"/>
      <c r="V168" s="3"/>
      <c r="W168" s="3"/>
      <c r="X168" s="3"/>
      <c r="Y168" s="3"/>
      <c r="Z168" s="3"/>
      <c r="AA168" s="3"/>
    </row>
    <row r="169">
      <c r="A169" s="20"/>
      <c r="B169" s="20"/>
      <c r="C169" s="20"/>
      <c r="D169" s="20"/>
      <c r="E169" s="20"/>
      <c r="F169" s="20"/>
      <c r="G169" s="20"/>
      <c r="H169" s="20"/>
      <c r="I169" s="3"/>
      <c r="J169" s="3"/>
      <c r="K169" s="3"/>
      <c r="L169" s="3"/>
      <c r="M169" s="3"/>
      <c r="N169" s="3"/>
      <c r="O169" s="3"/>
      <c r="P169" s="3"/>
      <c r="Q169" s="3"/>
      <c r="R169" s="3"/>
      <c r="S169" s="3"/>
      <c r="T169" s="3"/>
      <c r="U169" s="3"/>
      <c r="V169" s="3"/>
      <c r="W169" s="3"/>
      <c r="X169" s="3"/>
      <c r="Y169" s="3"/>
      <c r="Z169" s="3"/>
      <c r="AA169" s="3"/>
    </row>
    <row r="170">
      <c r="A170" s="20"/>
      <c r="B170" s="20"/>
      <c r="C170" s="20"/>
      <c r="D170" s="20"/>
      <c r="E170" s="20"/>
      <c r="F170" s="20"/>
      <c r="G170" s="20"/>
      <c r="H170" s="20"/>
      <c r="I170" s="3"/>
      <c r="J170" s="3"/>
      <c r="K170" s="3"/>
      <c r="L170" s="3"/>
      <c r="M170" s="3"/>
      <c r="N170" s="3"/>
      <c r="O170" s="3"/>
      <c r="P170" s="3"/>
      <c r="Q170" s="3"/>
      <c r="R170" s="3"/>
      <c r="S170" s="3"/>
      <c r="T170" s="3"/>
      <c r="U170" s="3"/>
      <c r="V170" s="3"/>
      <c r="W170" s="3"/>
      <c r="X170" s="3"/>
      <c r="Y170" s="3"/>
      <c r="Z170" s="3"/>
      <c r="AA170" s="3"/>
    </row>
    <row r="171">
      <c r="A171" s="20"/>
      <c r="B171" s="20"/>
      <c r="C171" s="20"/>
      <c r="D171" s="20"/>
      <c r="E171" s="20"/>
      <c r="F171" s="20"/>
      <c r="G171" s="20"/>
      <c r="H171" s="20"/>
      <c r="I171" s="3"/>
      <c r="J171" s="3"/>
      <c r="K171" s="3"/>
      <c r="L171" s="3"/>
      <c r="M171" s="3"/>
      <c r="N171" s="3"/>
      <c r="O171" s="3"/>
      <c r="P171" s="3"/>
      <c r="Q171" s="3"/>
      <c r="R171" s="3"/>
      <c r="S171" s="3"/>
      <c r="T171" s="3"/>
      <c r="U171" s="3"/>
      <c r="V171" s="3"/>
      <c r="W171" s="3"/>
      <c r="X171" s="3"/>
      <c r="Y171" s="3"/>
      <c r="Z171" s="3"/>
      <c r="AA171" s="3"/>
    </row>
    <row r="172">
      <c r="A172" s="20"/>
      <c r="B172" s="20"/>
      <c r="C172" s="20"/>
      <c r="D172" s="20"/>
      <c r="E172" s="20"/>
      <c r="F172" s="20"/>
      <c r="G172" s="20"/>
      <c r="H172" s="20"/>
      <c r="I172" s="3"/>
      <c r="J172" s="3"/>
      <c r="K172" s="3"/>
      <c r="L172" s="3"/>
      <c r="M172" s="3"/>
      <c r="N172" s="3"/>
      <c r="O172" s="3"/>
      <c r="P172" s="3"/>
      <c r="Q172" s="3"/>
      <c r="R172" s="3"/>
      <c r="S172" s="3"/>
      <c r="T172" s="3"/>
      <c r="U172" s="3"/>
      <c r="V172" s="3"/>
      <c r="W172" s="3"/>
      <c r="X172" s="3"/>
      <c r="Y172" s="3"/>
      <c r="Z172" s="3"/>
      <c r="AA172" s="3"/>
    </row>
    <row r="173">
      <c r="A173" s="20"/>
      <c r="B173" s="20"/>
      <c r="C173" s="20"/>
      <c r="D173" s="20"/>
      <c r="E173" s="20"/>
      <c r="F173" s="20"/>
      <c r="G173" s="20"/>
      <c r="H173" s="20"/>
      <c r="I173" s="3"/>
      <c r="J173" s="3"/>
      <c r="K173" s="3"/>
      <c r="L173" s="3"/>
      <c r="M173" s="3"/>
      <c r="N173" s="3"/>
      <c r="O173" s="3"/>
      <c r="P173" s="3"/>
      <c r="Q173" s="3"/>
      <c r="R173" s="3"/>
      <c r="S173" s="3"/>
      <c r="T173" s="3"/>
      <c r="U173" s="3"/>
      <c r="V173" s="3"/>
      <c r="W173" s="3"/>
      <c r="X173" s="3"/>
      <c r="Y173" s="3"/>
      <c r="Z173" s="3"/>
      <c r="AA173" s="3"/>
    </row>
    <row r="174">
      <c r="A174" s="20"/>
      <c r="B174" s="20"/>
      <c r="C174" s="20"/>
      <c r="D174" s="20"/>
      <c r="E174" s="20"/>
      <c r="F174" s="20"/>
      <c r="G174" s="20"/>
      <c r="H174" s="20"/>
      <c r="I174" s="3"/>
      <c r="J174" s="3"/>
      <c r="K174" s="3"/>
      <c r="L174" s="3"/>
      <c r="M174" s="3"/>
      <c r="N174" s="3"/>
      <c r="O174" s="3"/>
      <c r="P174" s="3"/>
      <c r="Q174" s="3"/>
      <c r="R174" s="3"/>
      <c r="S174" s="3"/>
      <c r="T174" s="3"/>
      <c r="U174" s="3"/>
      <c r="V174" s="3"/>
      <c r="W174" s="3"/>
      <c r="X174" s="3"/>
      <c r="Y174" s="3"/>
      <c r="Z174" s="3"/>
      <c r="AA174" s="3"/>
    </row>
    <row r="175">
      <c r="A175" s="20"/>
      <c r="B175" s="20"/>
      <c r="C175" s="20"/>
      <c r="D175" s="20"/>
      <c r="E175" s="20"/>
      <c r="F175" s="20"/>
      <c r="G175" s="20"/>
      <c r="H175" s="20"/>
      <c r="I175" s="3"/>
      <c r="J175" s="3"/>
      <c r="K175" s="3"/>
      <c r="L175" s="3"/>
      <c r="M175" s="3"/>
      <c r="N175" s="3"/>
      <c r="O175" s="3"/>
      <c r="P175" s="3"/>
      <c r="Q175" s="3"/>
      <c r="R175" s="3"/>
      <c r="S175" s="3"/>
      <c r="T175" s="3"/>
      <c r="U175" s="3"/>
      <c r="V175" s="3"/>
      <c r="W175" s="3"/>
      <c r="X175" s="3"/>
      <c r="Y175" s="3"/>
      <c r="Z175" s="3"/>
      <c r="AA175" s="3"/>
    </row>
    <row r="176">
      <c r="A176" s="20"/>
      <c r="B176" s="20"/>
      <c r="C176" s="20"/>
      <c r="D176" s="20"/>
      <c r="E176" s="20"/>
      <c r="F176" s="20"/>
      <c r="G176" s="20"/>
      <c r="H176" s="20"/>
      <c r="I176" s="3"/>
      <c r="J176" s="3"/>
      <c r="K176" s="3"/>
      <c r="L176" s="3"/>
      <c r="M176" s="3"/>
      <c r="N176" s="3"/>
      <c r="O176" s="3"/>
      <c r="P176" s="3"/>
      <c r="Q176" s="3"/>
      <c r="R176" s="3"/>
      <c r="S176" s="3"/>
      <c r="T176" s="3"/>
      <c r="U176" s="3"/>
      <c r="V176" s="3"/>
      <c r="W176" s="3"/>
      <c r="X176" s="3"/>
      <c r="Y176" s="3"/>
      <c r="Z176" s="3"/>
      <c r="AA176" s="3"/>
    </row>
    <row r="177">
      <c r="A177" s="20"/>
      <c r="B177" s="20"/>
      <c r="C177" s="20"/>
      <c r="D177" s="20"/>
      <c r="E177" s="20"/>
      <c r="F177" s="20"/>
      <c r="G177" s="20"/>
      <c r="H177" s="20"/>
      <c r="I177" s="3"/>
      <c r="J177" s="3"/>
      <c r="K177" s="3"/>
      <c r="L177" s="3"/>
      <c r="M177" s="3"/>
      <c r="N177" s="3"/>
      <c r="O177" s="3"/>
      <c r="P177" s="3"/>
      <c r="Q177" s="3"/>
      <c r="R177" s="3"/>
      <c r="S177" s="3"/>
      <c r="T177" s="3"/>
      <c r="U177" s="3"/>
      <c r="V177" s="3"/>
      <c r="W177" s="3"/>
      <c r="X177" s="3"/>
      <c r="Y177" s="3"/>
      <c r="Z177" s="3"/>
      <c r="AA177" s="3"/>
    </row>
    <row r="178">
      <c r="A178" s="20"/>
      <c r="B178" s="20"/>
      <c r="C178" s="20"/>
      <c r="D178" s="20"/>
      <c r="E178" s="20"/>
      <c r="F178" s="20"/>
      <c r="G178" s="20"/>
      <c r="H178" s="20"/>
      <c r="I178" s="3"/>
      <c r="J178" s="3"/>
      <c r="K178" s="3"/>
      <c r="L178" s="3"/>
      <c r="M178" s="3"/>
      <c r="N178" s="3"/>
      <c r="O178" s="3"/>
      <c r="P178" s="3"/>
      <c r="Q178" s="3"/>
      <c r="R178" s="3"/>
      <c r="S178" s="3"/>
      <c r="T178" s="3"/>
      <c r="U178" s="3"/>
      <c r="V178" s="3"/>
      <c r="W178" s="3"/>
      <c r="X178" s="3"/>
      <c r="Y178" s="3"/>
      <c r="Z178" s="3"/>
      <c r="AA178" s="3"/>
    </row>
    <row r="179">
      <c r="A179" s="20"/>
      <c r="B179" s="20"/>
      <c r="C179" s="20"/>
      <c r="D179" s="20"/>
      <c r="E179" s="20"/>
      <c r="F179" s="20"/>
      <c r="G179" s="20"/>
      <c r="H179" s="20"/>
      <c r="I179" s="3"/>
      <c r="J179" s="3"/>
      <c r="K179" s="3"/>
      <c r="L179" s="3"/>
      <c r="M179" s="3"/>
      <c r="N179" s="3"/>
      <c r="O179" s="3"/>
      <c r="P179" s="3"/>
      <c r="Q179" s="3"/>
      <c r="R179" s="3"/>
      <c r="S179" s="3"/>
      <c r="T179" s="3"/>
      <c r="U179" s="3"/>
      <c r="V179" s="3"/>
      <c r="W179" s="3"/>
      <c r="X179" s="3"/>
      <c r="Y179" s="3"/>
      <c r="Z179" s="3"/>
      <c r="AA179" s="3"/>
    </row>
    <row r="180">
      <c r="A180" s="20"/>
      <c r="B180" s="20"/>
      <c r="C180" s="20"/>
      <c r="D180" s="20"/>
      <c r="E180" s="20"/>
      <c r="F180" s="20"/>
      <c r="G180" s="20"/>
      <c r="H180" s="20"/>
      <c r="I180" s="3"/>
      <c r="J180" s="3"/>
      <c r="K180" s="3"/>
      <c r="L180" s="3"/>
      <c r="M180" s="3"/>
      <c r="N180" s="3"/>
      <c r="O180" s="3"/>
      <c r="P180" s="3"/>
      <c r="Q180" s="3"/>
      <c r="R180" s="3"/>
      <c r="S180" s="3"/>
      <c r="T180" s="3"/>
      <c r="U180" s="3"/>
      <c r="V180" s="3"/>
      <c r="W180" s="3"/>
      <c r="X180" s="3"/>
      <c r="Y180" s="3"/>
      <c r="Z180" s="3"/>
      <c r="AA180" s="3"/>
    </row>
    <row r="181">
      <c r="A181" s="20"/>
      <c r="B181" s="20"/>
      <c r="C181" s="20"/>
      <c r="D181" s="20"/>
      <c r="E181" s="20"/>
      <c r="F181" s="20"/>
      <c r="G181" s="20"/>
      <c r="H181" s="20"/>
      <c r="I181" s="3"/>
      <c r="J181" s="3"/>
      <c r="K181" s="3"/>
      <c r="L181" s="3"/>
      <c r="M181" s="3"/>
      <c r="N181" s="3"/>
      <c r="O181" s="3"/>
      <c r="P181" s="3"/>
      <c r="Q181" s="3"/>
      <c r="R181" s="3"/>
      <c r="S181" s="3"/>
      <c r="T181" s="3"/>
      <c r="U181" s="3"/>
      <c r="V181" s="3"/>
      <c r="W181" s="3"/>
      <c r="X181" s="3"/>
      <c r="Y181" s="3"/>
      <c r="Z181" s="3"/>
      <c r="AA181" s="3"/>
    </row>
    <row r="182">
      <c r="A182" s="20"/>
      <c r="B182" s="20"/>
      <c r="C182" s="20"/>
      <c r="D182" s="20"/>
      <c r="E182" s="20"/>
      <c r="F182" s="20"/>
      <c r="G182" s="20"/>
      <c r="H182" s="20"/>
      <c r="I182" s="3"/>
      <c r="J182" s="3"/>
      <c r="K182" s="3"/>
      <c r="L182" s="3"/>
      <c r="M182" s="3"/>
      <c r="N182" s="3"/>
      <c r="O182" s="3"/>
      <c r="P182" s="3"/>
      <c r="Q182" s="3"/>
      <c r="R182" s="3"/>
      <c r="S182" s="3"/>
      <c r="T182" s="3"/>
      <c r="U182" s="3"/>
      <c r="V182" s="3"/>
      <c r="W182" s="3"/>
      <c r="X182" s="3"/>
      <c r="Y182" s="3"/>
      <c r="Z182" s="3"/>
      <c r="AA182" s="3"/>
    </row>
    <row r="183">
      <c r="A183" s="20"/>
      <c r="B183" s="20"/>
      <c r="C183" s="20"/>
      <c r="D183" s="20"/>
      <c r="E183" s="20"/>
      <c r="F183" s="20"/>
      <c r="G183" s="20"/>
      <c r="H183" s="20"/>
      <c r="I183" s="3"/>
      <c r="J183" s="3"/>
      <c r="K183" s="3"/>
      <c r="L183" s="3"/>
      <c r="M183" s="3"/>
      <c r="N183" s="3"/>
      <c r="O183" s="3"/>
      <c r="P183" s="3"/>
      <c r="Q183" s="3"/>
      <c r="R183" s="3"/>
      <c r="S183" s="3"/>
      <c r="T183" s="3"/>
      <c r="U183" s="3"/>
      <c r="V183" s="3"/>
      <c r="W183" s="3"/>
      <c r="X183" s="3"/>
      <c r="Y183" s="3"/>
      <c r="Z183" s="3"/>
      <c r="AA183" s="3"/>
    </row>
    <row r="184">
      <c r="A184" s="20"/>
      <c r="B184" s="20"/>
      <c r="C184" s="20"/>
      <c r="D184" s="20"/>
      <c r="E184" s="20"/>
      <c r="F184" s="20"/>
      <c r="G184" s="20"/>
      <c r="H184" s="20"/>
      <c r="I184" s="3"/>
      <c r="J184" s="3"/>
      <c r="K184" s="3"/>
      <c r="L184" s="3"/>
      <c r="M184" s="3"/>
      <c r="N184" s="3"/>
      <c r="O184" s="3"/>
      <c r="P184" s="3"/>
      <c r="Q184" s="3"/>
      <c r="R184" s="3"/>
      <c r="S184" s="3"/>
      <c r="T184" s="3"/>
      <c r="U184" s="3"/>
      <c r="V184" s="3"/>
      <c r="W184" s="3"/>
      <c r="X184" s="3"/>
      <c r="Y184" s="3"/>
      <c r="Z184" s="3"/>
      <c r="AA184" s="3"/>
    </row>
    <row r="185">
      <c r="A185" s="20"/>
      <c r="B185" s="20"/>
      <c r="C185" s="20"/>
      <c r="D185" s="20"/>
      <c r="E185" s="20"/>
      <c r="F185" s="20"/>
      <c r="G185" s="20"/>
      <c r="H185" s="20"/>
      <c r="I185" s="3"/>
      <c r="J185" s="3"/>
      <c r="K185" s="3"/>
      <c r="L185" s="3"/>
      <c r="M185" s="3"/>
      <c r="N185" s="3"/>
      <c r="O185" s="3"/>
      <c r="P185" s="3"/>
      <c r="Q185" s="3"/>
      <c r="R185" s="3"/>
      <c r="S185" s="3"/>
      <c r="T185" s="3"/>
      <c r="U185" s="3"/>
      <c r="V185" s="3"/>
      <c r="W185" s="3"/>
      <c r="X185" s="3"/>
      <c r="Y185" s="3"/>
      <c r="Z185" s="3"/>
      <c r="AA185" s="3"/>
    </row>
    <row r="186">
      <c r="A186" s="20"/>
      <c r="B186" s="20"/>
      <c r="C186" s="20"/>
      <c r="D186" s="20"/>
      <c r="E186" s="20"/>
      <c r="F186" s="20"/>
      <c r="G186" s="20"/>
      <c r="H186" s="20"/>
      <c r="I186" s="3"/>
      <c r="J186" s="3"/>
      <c r="K186" s="3"/>
      <c r="L186" s="3"/>
      <c r="M186" s="3"/>
      <c r="N186" s="3"/>
      <c r="O186" s="3"/>
      <c r="P186" s="3"/>
      <c r="Q186" s="3"/>
      <c r="R186" s="3"/>
      <c r="S186" s="3"/>
      <c r="T186" s="3"/>
      <c r="U186" s="3"/>
      <c r="V186" s="3"/>
      <c r="W186" s="3"/>
      <c r="X186" s="3"/>
      <c r="Y186" s="3"/>
      <c r="Z186" s="3"/>
      <c r="AA186" s="3"/>
    </row>
    <row r="187">
      <c r="A187" s="20"/>
      <c r="B187" s="20"/>
      <c r="C187" s="20"/>
      <c r="D187" s="20"/>
      <c r="E187" s="20"/>
      <c r="F187" s="20"/>
      <c r="G187" s="20"/>
      <c r="H187" s="20"/>
      <c r="I187" s="3"/>
      <c r="J187" s="3"/>
      <c r="K187" s="3"/>
      <c r="L187" s="3"/>
      <c r="M187" s="3"/>
      <c r="N187" s="3"/>
      <c r="O187" s="3"/>
      <c r="P187" s="3"/>
      <c r="Q187" s="3"/>
      <c r="R187" s="3"/>
      <c r="S187" s="3"/>
      <c r="T187" s="3"/>
      <c r="U187" s="3"/>
      <c r="V187" s="3"/>
      <c r="W187" s="3"/>
      <c r="X187" s="3"/>
      <c r="Y187" s="3"/>
      <c r="Z187" s="3"/>
      <c r="AA187" s="3"/>
    </row>
    <row r="188">
      <c r="A188" s="20"/>
      <c r="B188" s="20"/>
      <c r="C188" s="20"/>
      <c r="D188" s="20"/>
      <c r="E188" s="20"/>
      <c r="F188" s="20"/>
      <c r="G188" s="20"/>
      <c r="H188" s="20"/>
      <c r="I188" s="3"/>
      <c r="J188" s="3"/>
      <c r="K188" s="3"/>
      <c r="L188" s="3"/>
      <c r="M188" s="3"/>
      <c r="N188" s="3"/>
      <c r="O188" s="3"/>
      <c r="P188" s="3"/>
      <c r="Q188" s="3"/>
      <c r="R188" s="3"/>
      <c r="S188" s="3"/>
      <c r="T188" s="3"/>
      <c r="U188" s="3"/>
      <c r="V188" s="3"/>
      <c r="W188" s="3"/>
      <c r="X188" s="3"/>
      <c r="Y188" s="3"/>
      <c r="Z188" s="3"/>
      <c r="AA188" s="3"/>
    </row>
    <row r="189">
      <c r="A189" s="20"/>
      <c r="B189" s="20"/>
      <c r="C189" s="20"/>
      <c r="D189" s="20"/>
      <c r="E189" s="20"/>
      <c r="F189" s="20"/>
      <c r="G189" s="20"/>
      <c r="H189" s="20"/>
      <c r="I189" s="3"/>
      <c r="J189" s="3"/>
      <c r="K189" s="3"/>
      <c r="L189" s="3"/>
      <c r="M189" s="3"/>
      <c r="N189" s="3"/>
      <c r="O189" s="3"/>
      <c r="P189" s="3"/>
      <c r="Q189" s="3"/>
      <c r="R189" s="3"/>
      <c r="S189" s="3"/>
      <c r="T189" s="3"/>
      <c r="U189" s="3"/>
      <c r="V189" s="3"/>
      <c r="W189" s="3"/>
      <c r="X189" s="3"/>
      <c r="Y189" s="3"/>
      <c r="Z189" s="3"/>
      <c r="AA189" s="3"/>
    </row>
    <row r="190">
      <c r="A190" s="20"/>
      <c r="B190" s="20"/>
      <c r="C190" s="20"/>
      <c r="D190" s="20"/>
      <c r="E190" s="20"/>
      <c r="F190" s="20"/>
      <c r="G190" s="20"/>
      <c r="H190" s="20"/>
      <c r="I190" s="3"/>
      <c r="J190" s="3"/>
      <c r="K190" s="3"/>
      <c r="L190" s="3"/>
      <c r="M190" s="3"/>
      <c r="N190" s="3"/>
      <c r="O190" s="3"/>
      <c r="P190" s="3"/>
      <c r="Q190" s="3"/>
      <c r="R190" s="3"/>
      <c r="S190" s="3"/>
      <c r="T190" s="3"/>
      <c r="U190" s="3"/>
      <c r="V190" s="3"/>
      <c r="W190" s="3"/>
      <c r="X190" s="3"/>
      <c r="Y190" s="3"/>
      <c r="Z190" s="3"/>
      <c r="AA190" s="3"/>
    </row>
    <row r="191">
      <c r="A191" s="20"/>
      <c r="B191" s="20"/>
      <c r="C191" s="20"/>
      <c r="D191" s="20"/>
      <c r="E191" s="20"/>
      <c r="F191" s="20"/>
      <c r="G191" s="20"/>
      <c r="H191" s="20"/>
      <c r="I191" s="3"/>
      <c r="J191" s="3"/>
      <c r="K191" s="3"/>
      <c r="L191" s="3"/>
      <c r="M191" s="3"/>
      <c r="N191" s="3"/>
      <c r="O191" s="3"/>
      <c r="P191" s="3"/>
      <c r="Q191" s="3"/>
      <c r="R191" s="3"/>
      <c r="S191" s="3"/>
      <c r="T191" s="3"/>
      <c r="U191" s="3"/>
      <c r="V191" s="3"/>
      <c r="W191" s="3"/>
      <c r="X191" s="3"/>
      <c r="Y191" s="3"/>
      <c r="Z191" s="3"/>
      <c r="AA191" s="3"/>
    </row>
    <row r="192">
      <c r="A192" s="20"/>
      <c r="B192" s="20"/>
      <c r="C192" s="20"/>
      <c r="D192" s="20"/>
      <c r="E192" s="20"/>
      <c r="F192" s="20"/>
      <c r="G192" s="20"/>
      <c r="H192" s="20"/>
      <c r="I192" s="3"/>
      <c r="J192" s="3"/>
      <c r="K192" s="3"/>
      <c r="L192" s="3"/>
      <c r="M192" s="3"/>
      <c r="N192" s="3"/>
      <c r="O192" s="3"/>
      <c r="P192" s="3"/>
      <c r="Q192" s="3"/>
      <c r="R192" s="3"/>
      <c r="S192" s="3"/>
      <c r="T192" s="3"/>
      <c r="U192" s="3"/>
      <c r="V192" s="3"/>
      <c r="W192" s="3"/>
      <c r="X192" s="3"/>
      <c r="Y192" s="3"/>
      <c r="Z192" s="3"/>
      <c r="AA192" s="3"/>
    </row>
    <row r="193">
      <c r="A193" s="20"/>
      <c r="B193" s="20"/>
      <c r="C193" s="20"/>
      <c r="D193" s="20"/>
      <c r="E193" s="20"/>
      <c r="F193" s="20"/>
      <c r="G193" s="20"/>
      <c r="H193" s="20"/>
      <c r="I193" s="3"/>
      <c r="J193" s="3"/>
      <c r="K193" s="3"/>
      <c r="L193" s="3"/>
      <c r="M193" s="3"/>
      <c r="N193" s="3"/>
      <c r="O193" s="3"/>
      <c r="P193" s="3"/>
      <c r="Q193" s="3"/>
      <c r="R193" s="3"/>
      <c r="S193" s="3"/>
      <c r="T193" s="3"/>
      <c r="U193" s="3"/>
      <c r="V193" s="3"/>
      <c r="W193" s="3"/>
      <c r="X193" s="3"/>
      <c r="Y193" s="3"/>
      <c r="Z193" s="3"/>
      <c r="AA193" s="3"/>
    </row>
    <row r="194">
      <c r="A194" s="20"/>
      <c r="B194" s="20"/>
      <c r="C194" s="20"/>
      <c r="D194" s="20"/>
      <c r="E194" s="20"/>
      <c r="F194" s="20"/>
      <c r="G194" s="20"/>
      <c r="H194" s="20"/>
      <c r="I194" s="3"/>
      <c r="J194" s="3"/>
      <c r="K194" s="3"/>
      <c r="L194" s="3"/>
      <c r="M194" s="3"/>
      <c r="N194" s="3"/>
      <c r="O194" s="3"/>
      <c r="P194" s="3"/>
      <c r="Q194" s="3"/>
      <c r="R194" s="3"/>
      <c r="S194" s="3"/>
      <c r="T194" s="3"/>
      <c r="U194" s="3"/>
      <c r="V194" s="3"/>
      <c r="W194" s="3"/>
      <c r="X194" s="3"/>
      <c r="Y194" s="3"/>
      <c r="Z194" s="3"/>
      <c r="AA194" s="3"/>
    </row>
    <row r="195">
      <c r="A195" s="20"/>
      <c r="B195" s="20"/>
      <c r="C195" s="20"/>
      <c r="D195" s="20"/>
      <c r="E195" s="20"/>
      <c r="F195" s="20"/>
      <c r="G195" s="20"/>
      <c r="H195" s="20"/>
      <c r="I195" s="3"/>
      <c r="J195" s="3"/>
      <c r="K195" s="3"/>
      <c r="L195" s="3"/>
      <c r="M195" s="3"/>
      <c r="N195" s="3"/>
      <c r="O195" s="3"/>
      <c r="P195" s="3"/>
      <c r="Q195" s="3"/>
      <c r="R195" s="3"/>
      <c r="S195" s="3"/>
      <c r="T195" s="3"/>
      <c r="U195" s="3"/>
      <c r="V195" s="3"/>
      <c r="W195" s="3"/>
      <c r="X195" s="3"/>
      <c r="Y195" s="3"/>
      <c r="Z195" s="3"/>
      <c r="AA195" s="3"/>
    </row>
    <row r="196">
      <c r="A196" s="20"/>
      <c r="B196" s="20"/>
      <c r="C196" s="20"/>
      <c r="D196" s="20"/>
      <c r="E196" s="20"/>
      <c r="F196" s="20"/>
      <c r="G196" s="20"/>
      <c r="H196" s="20"/>
      <c r="I196" s="3"/>
      <c r="J196" s="3"/>
      <c r="K196" s="3"/>
      <c r="L196" s="3"/>
      <c r="M196" s="3"/>
      <c r="N196" s="3"/>
      <c r="O196" s="3"/>
      <c r="P196" s="3"/>
      <c r="Q196" s="3"/>
      <c r="R196" s="3"/>
      <c r="S196" s="3"/>
      <c r="T196" s="3"/>
      <c r="U196" s="3"/>
      <c r="V196" s="3"/>
      <c r="W196" s="3"/>
      <c r="X196" s="3"/>
      <c r="Y196" s="3"/>
      <c r="Z196" s="3"/>
      <c r="AA196" s="3"/>
    </row>
    <row r="197">
      <c r="A197" s="20"/>
      <c r="B197" s="20"/>
      <c r="C197" s="20"/>
      <c r="D197" s="20"/>
      <c r="E197" s="20"/>
      <c r="F197" s="20"/>
      <c r="G197" s="20"/>
      <c r="H197" s="20"/>
      <c r="I197" s="3"/>
      <c r="J197" s="3"/>
      <c r="K197" s="3"/>
      <c r="L197" s="3"/>
      <c r="M197" s="3"/>
      <c r="N197" s="3"/>
      <c r="O197" s="3"/>
      <c r="P197" s="3"/>
      <c r="Q197" s="3"/>
      <c r="R197" s="3"/>
      <c r="S197" s="3"/>
      <c r="T197" s="3"/>
      <c r="U197" s="3"/>
      <c r="V197" s="3"/>
      <c r="W197" s="3"/>
      <c r="X197" s="3"/>
      <c r="Y197" s="3"/>
      <c r="Z197" s="3"/>
      <c r="AA197" s="3"/>
    </row>
    <row r="198">
      <c r="A198" s="20"/>
      <c r="B198" s="20"/>
      <c r="C198" s="20"/>
      <c r="D198" s="20"/>
      <c r="E198" s="20"/>
      <c r="F198" s="20"/>
      <c r="G198" s="20"/>
      <c r="H198" s="20"/>
      <c r="I198" s="3"/>
      <c r="J198" s="3"/>
      <c r="K198" s="3"/>
      <c r="L198" s="3"/>
      <c r="M198" s="3"/>
      <c r="N198" s="3"/>
      <c r="O198" s="3"/>
      <c r="P198" s="3"/>
      <c r="Q198" s="3"/>
      <c r="R198" s="3"/>
      <c r="S198" s="3"/>
      <c r="T198" s="3"/>
      <c r="U198" s="3"/>
      <c r="V198" s="3"/>
      <c r="W198" s="3"/>
      <c r="X198" s="3"/>
      <c r="Y198" s="3"/>
      <c r="Z198" s="3"/>
      <c r="AA198" s="3"/>
    </row>
    <row r="199">
      <c r="A199" s="20"/>
      <c r="B199" s="20"/>
      <c r="C199" s="20"/>
      <c r="D199" s="20"/>
      <c r="E199" s="20"/>
      <c r="F199" s="20"/>
      <c r="G199" s="20"/>
      <c r="H199" s="20"/>
      <c r="I199" s="3"/>
      <c r="J199" s="3"/>
      <c r="K199" s="3"/>
      <c r="L199" s="3"/>
      <c r="M199" s="3"/>
      <c r="N199" s="3"/>
      <c r="O199" s="3"/>
      <c r="P199" s="3"/>
      <c r="Q199" s="3"/>
      <c r="R199" s="3"/>
      <c r="S199" s="3"/>
      <c r="T199" s="3"/>
      <c r="U199" s="3"/>
      <c r="V199" s="3"/>
      <c r="W199" s="3"/>
      <c r="X199" s="3"/>
      <c r="Y199" s="3"/>
      <c r="Z199" s="3"/>
      <c r="AA199" s="3"/>
    </row>
    <row r="200">
      <c r="A200" s="20"/>
      <c r="B200" s="20"/>
      <c r="C200" s="20"/>
      <c r="D200" s="20"/>
      <c r="E200" s="20"/>
      <c r="F200" s="20"/>
      <c r="G200" s="20"/>
      <c r="H200" s="20"/>
      <c r="I200" s="3"/>
      <c r="J200" s="3"/>
      <c r="K200" s="3"/>
      <c r="L200" s="3"/>
      <c r="M200" s="3"/>
      <c r="N200" s="3"/>
      <c r="O200" s="3"/>
      <c r="P200" s="3"/>
      <c r="Q200" s="3"/>
      <c r="R200" s="3"/>
      <c r="S200" s="3"/>
      <c r="T200" s="3"/>
      <c r="U200" s="3"/>
      <c r="V200" s="3"/>
      <c r="W200" s="3"/>
      <c r="X200" s="3"/>
      <c r="Y200" s="3"/>
      <c r="Z200" s="3"/>
      <c r="AA200" s="3"/>
    </row>
    <row r="201">
      <c r="A201" s="20"/>
      <c r="B201" s="20"/>
      <c r="C201" s="20"/>
      <c r="D201" s="20"/>
      <c r="E201" s="20"/>
      <c r="F201" s="20"/>
      <c r="G201" s="20"/>
      <c r="H201" s="20"/>
      <c r="I201" s="3"/>
      <c r="J201" s="3"/>
      <c r="K201" s="3"/>
      <c r="L201" s="3"/>
      <c r="M201" s="3"/>
      <c r="N201" s="3"/>
      <c r="O201" s="3"/>
      <c r="P201" s="3"/>
      <c r="Q201" s="3"/>
      <c r="R201" s="3"/>
      <c r="S201" s="3"/>
      <c r="T201" s="3"/>
      <c r="U201" s="3"/>
      <c r="V201" s="3"/>
      <c r="W201" s="3"/>
      <c r="X201" s="3"/>
      <c r="Y201" s="3"/>
      <c r="Z201" s="3"/>
      <c r="AA201" s="3"/>
    </row>
    <row r="202">
      <c r="A202" s="20"/>
      <c r="B202" s="20"/>
      <c r="C202" s="20"/>
      <c r="D202" s="20"/>
      <c r="E202" s="20"/>
      <c r="F202" s="20"/>
      <c r="G202" s="20"/>
      <c r="H202" s="20"/>
      <c r="I202" s="3"/>
      <c r="J202" s="3"/>
      <c r="K202" s="3"/>
      <c r="L202" s="3"/>
      <c r="M202" s="3"/>
      <c r="N202" s="3"/>
      <c r="O202" s="3"/>
      <c r="P202" s="3"/>
      <c r="Q202" s="3"/>
      <c r="R202" s="3"/>
      <c r="S202" s="3"/>
      <c r="T202" s="3"/>
      <c r="U202" s="3"/>
      <c r="V202" s="3"/>
      <c r="W202" s="3"/>
      <c r="X202" s="3"/>
      <c r="Y202" s="3"/>
      <c r="Z202" s="3"/>
      <c r="AA202" s="3"/>
    </row>
    <row r="203">
      <c r="A203" s="20"/>
      <c r="B203" s="20"/>
      <c r="C203" s="20"/>
      <c r="D203" s="20"/>
      <c r="E203" s="20"/>
      <c r="F203" s="20"/>
      <c r="G203" s="20"/>
      <c r="H203" s="20"/>
      <c r="I203" s="3"/>
      <c r="J203" s="3"/>
      <c r="K203" s="3"/>
      <c r="L203" s="3"/>
      <c r="M203" s="3"/>
      <c r="N203" s="3"/>
      <c r="O203" s="3"/>
      <c r="P203" s="3"/>
      <c r="Q203" s="3"/>
      <c r="R203" s="3"/>
      <c r="S203" s="3"/>
      <c r="T203" s="3"/>
      <c r="U203" s="3"/>
      <c r="V203" s="3"/>
      <c r="W203" s="3"/>
      <c r="X203" s="3"/>
      <c r="Y203" s="3"/>
      <c r="Z203" s="3"/>
      <c r="AA203" s="3"/>
    </row>
    <row r="204">
      <c r="A204" s="20"/>
      <c r="B204" s="20"/>
      <c r="C204" s="20"/>
      <c r="D204" s="20"/>
      <c r="E204" s="20"/>
      <c r="F204" s="20"/>
      <c r="G204" s="20"/>
      <c r="H204" s="20"/>
      <c r="I204" s="3"/>
      <c r="J204" s="3"/>
      <c r="K204" s="3"/>
      <c r="L204" s="3"/>
      <c r="M204" s="3"/>
      <c r="N204" s="3"/>
      <c r="O204" s="3"/>
      <c r="P204" s="3"/>
      <c r="Q204" s="3"/>
      <c r="R204" s="3"/>
      <c r="S204" s="3"/>
      <c r="T204" s="3"/>
      <c r="U204" s="3"/>
      <c r="V204" s="3"/>
      <c r="W204" s="3"/>
      <c r="X204" s="3"/>
      <c r="Y204" s="3"/>
      <c r="Z204" s="3"/>
      <c r="AA204" s="3"/>
    </row>
    <row r="205">
      <c r="A205" s="20"/>
      <c r="B205" s="20"/>
      <c r="C205" s="20"/>
      <c r="D205" s="20"/>
      <c r="E205" s="20"/>
      <c r="F205" s="20"/>
      <c r="G205" s="20"/>
      <c r="H205" s="20"/>
      <c r="I205" s="3"/>
      <c r="J205" s="3"/>
      <c r="K205" s="3"/>
      <c r="L205" s="3"/>
      <c r="M205" s="3"/>
      <c r="N205" s="3"/>
      <c r="O205" s="3"/>
      <c r="P205" s="3"/>
      <c r="Q205" s="3"/>
      <c r="R205" s="3"/>
      <c r="S205" s="3"/>
      <c r="T205" s="3"/>
      <c r="U205" s="3"/>
      <c r="V205" s="3"/>
      <c r="W205" s="3"/>
      <c r="X205" s="3"/>
      <c r="Y205" s="3"/>
      <c r="Z205" s="3"/>
      <c r="AA205" s="3"/>
    </row>
  </sheetData>
  <mergeCells count="12">
    <mergeCell ref="B13:B17"/>
    <mergeCell ref="B18:B21"/>
    <mergeCell ref="B22:B24"/>
    <mergeCell ref="B25:B30"/>
    <mergeCell ref="B31:B33"/>
    <mergeCell ref="B1:H1"/>
    <mergeCell ref="B2:H2"/>
    <mergeCell ref="B3:H3"/>
    <mergeCell ref="C4:D4"/>
    <mergeCell ref="E4:H4"/>
    <mergeCell ref="C5:D10"/>
    <mergeCell ref="E5:H10"/>
  </mergeCells>
  <dataValidations>
    <dataValidation type="list" allowBlank="1" showErrorMessage="1" sqref="F13:F205">
      <formula1>'Backup of ND học - Hoàng'!$A$7:$A$9</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1483</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1274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COUNTA(D14:D25)</f>
        <v>12</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COUNTIFS(D14:D25, "&lt;&gt;", G14:G25, "&lt;&gt;Pending")</f>
        <v>4</v>
      </c>
      <c r="C5" s="11" t="s">
        <v>1484</v>
      </c>
      <c r="D5" s="12"/>
      <c r="E5" s="13"/>
      <c r="F5" s="11" t="s">
        <v>1485</v>
      </c>
      <c r="G5" s="12"/>
      <c r="H5" s="12"/>
      <c r="I5" s="13"/>
      <c r="J5" s="3"/>
      <c r="K5" s="3"/>
      <c r="L5" s="3"/>
      <c r="M5" s="3"/>
      <c r="N5" s="3"/>
      <c r="O5" s="3"/>
      <c r="P5" s="3"/>
      <c r="Q5" s="3"/>
      <c r="R5" s="3"/>
      <c r="S5" s="3"/>
      <c r="T5" s="3"/>
      <c r="U5" s="3"/>
      <c r="V5" s="3"/>
      <c r="W5" s="3"/>
      <c r="X5" s="3"/>
      <c r="Y5" s="3"/>
      <c r="Z5" s="3"/>
      <c r="AA5" s="3"/>
      <c r="AB5" s="3"/>
    </row>
    <row r="6">
      <c r="A6" s="6" t="s">
        <v>6</v>
      </c>
      <c r="B6" s="7">
        <f>B4-B5</f>
        <v>8</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COUNTIF($G$14:$G25,A7)</f>
        <v>3</v>
      </c>
      <c r="C7" s="14"/>
      <c r="E7" s="15"/>
      <c r="F7" s="14"/>
      <c r="I7" s="15"/>
      <c r="J7" s="3"/>
      <c r="K7" s="3"/>
      <c r="L7" s="3"/>
      <c r="M7" s="3"/>
      <c r="N7" s="3"/>
      <c r="O7" s="3"/>
      <c r="P7" s="3"/>
      <c r="Q7" s="3"/>
      <c r="R7" s="3"/>
      <c r="S7" s="3"/>
      <c r="T7" s="3"/>
      <c r="U7" s="3"/>
      <c r="V7" s="3"/>
      <c r="W7" s="3"/>
      <c r="X7" s="3"/>
      <c r="Y7" s="3"/>
      <c r="Z7" s="3"/>
      <c r="AA7" s="3"/>
      <c r="AB7" s="3"/>
    </row>
    <row r="8">
      <c r="A8" s="6" t="s">
        <v>8</v>
      </c>
      <c r="B8" s="7">
        <f t="shared" si="1"/>
        <v>1</v>
      </c>
      <c r="C8" s="14"/>
      <c r="E8" s="15"/>
      <c r="F8" s="14"/>
      <c r="I8" s="15"/>
      <c r="J8" s="3"/>
      <c r="K8" s="3"/>
      <c r="L8" s="3"/>
      <c r="M8" s="3"/>
      <c r="N8" s="3"/>
      <c r="O8" s="3"/>
      <c r="P8" s="3"/>
      <c r="Q8" s="3"/>
      <c r="R8" s="3"/>
      <c r="S8" s="3"/>
      <c r="T8" s="3"/>
      <c r="U8" s="3"/>
      <c r="V8" s="3"/>
      <c r="W8" s="3"/>
      <c r="X8" s="3"/>
      <c r="Y8" s="3"/>
      <c r="Z8" s="3"/>
      <c r="AA8" s="3"/>
      <c r="AB8" s="3"/>
    </row>
    <row r="9">
      <c r="A9" s="6" t="s">
        <v>184</v>
      </c>
      <c r="B9" s="23">
        <f>B7/B4</f>
        <v>0.25</v>
      </c>
      <c r="C9" s="14"/>
      <c r="E9" s="15"/>
      <c r="F9" s="14"/>
      <c r="I9" s="15"/>
      <c r="J9" s="3"/>
      <c r="K9" s="3"/>
      <c r="L9" s="3"/>
      <c r="M9" s="3"/>
      <c r="N9" s="3"/>
      <c r="O9" s="3"/>
      <c r="P9" s="3"/>
      <c r="Q9" s="3"/>
      <c r="R9" s="3"/>
      <c r="S9" s="3"/>
      <c r="T9" s="3"/>
      <c r="U9" s="3"/>
      <c r="V9" s="3"/>
      <c r="W9" s="3"/>
      <c r="X9" s="3"/>
      <c r="Y9" s="3"/>
      <c r="Z9" s="3"/>
      <c r="AA9" s="3"/>
      <c r="AB9" s="3"/>
    </row>
    <row r="10">
      <c r="A10" s="6" t="s">
        <v>9</v>
      </c>
      <c r="B10" s="7">
        <f>SUM(H14:H25)</f>
        <v>1</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37</v>
      </c>
      <c r="B13" s="47" t="s">
        <v>1486</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1487</v>
      </c>
      <c r="B14" s="55" t="s">
        <v>1488</v>
      </c>
      <c r="C14" s="19" t="s">
        <v>195</v>
      </c>
      <c r="D14" s="19" t="s">
        <v>1489</v>
      </c>
      <c r="E14" s="19" t="s">
        <v>1490</v>
      </c>
      <c r="F14" s="19" t="s">
        <v>1491</v>
      </c>
      <c r="G14" s="19" t="s">
        <v>7</v>
      </c>
      <c r="H14" s="19"/>
      <c r="I14" s="20"/>
      <c r="J14" s="3"/>
      <c r="K14" s="3"/>
      <c r="L14" s="3"/>
      <c r="M14" s="3"/>
      <c r="N14" s="3"/>
      <c r="O14" s="3"/>
      <c r="P14" s="3"/>
      <c r="Q14" s="3"/>
      <c r="R14" s="3"/>
      <c r="S14" s="3"/>
      <c r="T14" s="3"/>
      <c r="U14" s="3"/>
      <c r="V14" s="3"/>
      <c r="W14" s="3"/>
      <c r="X14" s="3"/>
      <c r="Y14" s="3"/>
      <c r="Z14" s="3"/>
      <c r="AA14" s="3"/>
      <c r="AB14" s="3"/>
    </row>
    <row r="15">
      <c r="A15" s="19" t="s">
        <v>1492</v>
      </c>
      <c r="B15" s="56"/>
      <c r="C15" s="19" t="s">
        <v>195</v>
      </c>
      <c r="D15" s="19" t="s">
        <v>1493</v>
      </c>
      <c r="E15" s="19" t="s">
        <v>1494</v>
      </c>
      <c r="F15" s="19" t="s">
        <v>1491</v>
      </c>
      <c r="G15" s="19" t="s">
        <v>7</v>
      </c>
      <c r="H15" s="20"/>
      <c r="I15" s="20"/>
      <c r="J15" s="3"/>
      <c r="K15" s="3"/>
      <c r="L15" s="3"/>
      <c r="M15" s="3"/>
      <c r="N15" s="3"/>
      <c r="O15" s="3"/>
      <c r="P15" s="3"/>
      <c r="Q15" s="3"/>
      <c r="R15" s="3"/>
      <c r="S15" s="3"/>
      <c r="T15" s="3"/>
      <c r="U15" s="3"/>
      <c r="V15" s="3"/>
      <c r="W15" s="3"/>
      <c r="X15" s="3"/>
      <c r="Y15" s="3"/>
      <c r="Z15" s="3"/>
      <c r="AA15" s="3"/>
      <c r="AB15" s="3"/>
    </row>
    <row r="16">
      <c r="A16" s="19" t="s">
        <v>1495</v>
      </c>
      <c r="B16" s="56"/>
      <c r="C16" s="19" t="s">
        <v>201</v>
      </c>
      <c r="D16" s="19" t="s">
        <v>1496</v>
      </c>
      <c r="E16" s="19" t="s">
        <v>1497</v>
      </c>
      <c r="F16" s="19" t="s">
        <v>1491</v>
      </c>
      <c r="G16" s="19" t="s">
        <v>7</v>
      </c>
      <c r="H16" s="20"/>
      <c r="I16" s="20"/>
      <c r="J16" s="3"/>
      <c r="K16" s="3"/>
      <c r="L16" s="3"/>
      <c r="M16" s="3"/>
      <c r="N16" s="3"/>
      <c r="O16" s="3"/>
      <c r="P16" s="3"/>
      <c r="Q16" s="3"/>
      <c r="R16" s="3"/>
      <c r="S16" s="3"/>
      <c r="T16" s="3"/>
      <c r="U16" s="3"/>
      <c r="V16" s="3"/>
      <c r="W16" s="3"/>
      <c r="X16" s="3"/>
      <c r="Y16" s="3"/>
      <c r="Z16" s="3"/>
      <c r="AA16" s="3"/>
      <c r="AB16" s="3"/>
    </row>
    <row r="17">
      <c r="A17" s="19" t="s">
        <v>1498</v>
      </c>
      <c r="B17" s="57"/>
      <c r="C17" s="19" t="s">
        <v>201</v>
      </c>
      <c r="D17" s="19" t="s">
        <v>1499</v>
      </c>
      <c r="E17" s="19" t="s">
        <v>1500</v>
      </c>
      <c r="F17" s="19" t="s">
        <v>1491</v>
      </c>
      <c r="G17" s="19" t="s">
        <v>8</v>
      </c>
      <c r="H17" s="19">
        <v>1.0</v>
      </c>
      <c r="I17" s="19" t="s">
        <v>1501</v>
      </c>
      <c r="J17" s="3"/>
      <c r="K17" s="3"/>
      <c r="L17" s="3"/>
      <c r="M17" s="3"/>
      <c r="N17" s="3"/>
      <c r="O17" s="3"/>
      <c r="P17" s="3"/>
      <c r="Q17" s="3"/>
      <c r="R17" s="3"/>
      <c r="S17" s="3"/>
      <c r="T17" s="3"/>
      <c r="U17" s="3"/>
      <c r="V17" s="3"/>
      <c r="W17" s="3"/>
      <c r="X17" s="3"/>
      <c r="Y17" s="3"/>
      <c r="Z17" s="3"/>
      <c r="AA17" s="3"/>
      <c r="AB17" s="3"/>
    </row>
    <row r="18">
      <c r="A18" s="19" t="s">
        <v>1502</v>
      </c>
      <c r="B18" s="55" t="s">
        <v>1503</v>
      </c>
      <c r="C18" s="19" t="s">
        <v>195</v>
      </c>
      <c r="D18" s="19" t="s">
        <v>1504</v>
      </c>
      <c r="E18" s="19" t="s">
        <v>1505</v>
      </c>
      <c r="F18" s="19" t="s">
        <v>1506</v>
      </c>
      <c r="G18" s="19" t="s">
        <v>6</v>
      </c>
      <c r="H18" s="20"/>
      <c r="I18" s="19" t="s">
        <v>1507</v>
      </c>
      <c r="J18" s="3"/>
      <c r="K18" s="3"/>
      <c r="L18" s="3"/>
      <c r="M18" s="3"/>
      <c r="N18" s="3"/>
      <c r="O18" s="3"/>
      <c r="P18" s="3"/>
      <c r="Q18" s="3"/>
      <c r="R18" s="3"/>
      <c r="S18" s="3"/>
      <c r="T18" s="3"/>
      <c r="U18" s="3"/>
      <c r="V18" s="3"/>
      <c r="W18" s="3"/>
      <c r="X18" s="3"/>
      <c r="Y18" s="3"/>
      <c r="Z18" s="3"/>
      <c r="AA18" s="3"/>
      <c r="AB18" s="3"/>
    </row>
    <row r="19">
      <c r="A19" s="19" t="s">
        <v>1508</v>
      </c>
      <c r="B19" s="56"/>
      <c r="C19" s="19" t="s">
        <v>195</v>
      </c>
      <c r="D19" s="19" t="s">
        <v>1509</v>
      </c>
      <c r="E19" s="19" t="s">
        <v>1510</v>
      </c>
      <c r="F19" s="19" t="s">
        <v>1511</v>
      </c>
      <c r="G19" s="19" t="s">
        <v>6</v>
      </c>
      <c r="H19" s="20"/>
      <c r="I19" s="19" t="s">
        <v>1507</v>
      </c>
      <c r="J19" s="3"/>
      <c r="K19" s="3"/>
      <c r="L19" s="3"/>
      <c r="M19" s="3"/>
      <c r="N19" s="3"/>
      <c r="O19" s="3"/>
      <c r="P19" s="3"/>
      <c r="Q19" s="3"/>
      <c r="R19" s="3"/>
      <c r="S19" s="3"/>
      <c r="T19" s="3"/>
      <c r="U19" s="3"/>
      <c r="V19" s="3"/>
      <c r="W19" s="3"/>
      <c r="X19" s="3"/>
      <c r="Y19" s="3"/>
      <c r="Z19" s="3"/>
      <c r="AA19" s="3"/>
      <c r="AB19" s="3"/>
    </row>
    <row r="20">
      <c r="A20" s="19" t="s">
        <v>1512</v>
      </c>
      <c r="B20" s="57"/>
      <c r="C20" s="19" t="s">
        <v>201</v>
      </c>
      <c r="D20" s="19" t="s">
        <v>1513</v>
      </c>
      <c r="E20" s="19" t="s">
        <v>1514</v>
      </c>
      <c r="F20" s="19" t="s">
        <v>1515</v>
      </c>
      <c r="G20" s="19" t="s">
        <v>6</v>
      </c>
      <c r="H20" s="20"/>
      <c r="I20" s="19" t="s">
        <v>1507</v>
      </c>
      <c r="J20" s="3"/>
      <c r="K20" s="3"/>
      <c r="L20" s="3"/>
      <c r="M20" s="3"/>
      <c r="N20" s="3"/>
      <c r="O20" s="3"/>
      <c r="P20" s="3"/>
      <c r="Q20" s="3"/>
      <c r="R20" s="3"/>
      <c r="S20" s="3"/>
      <c r="T20" s="3"/>
      <c r="U20" s="3"/>
      <c r="V20" s="3"/>
      <c r="W20" s="3"/>
      <c r="X20" s="3"/>
      <c r="Y20" s="3"/>
      <c r="Z20" s="3"/>
      <c r="AA20" s="3"/>
      <c r="AB20" s="3"/>
    </row>
    <row r="21">
      <c r="A21" s="19" t="s">
        <v>1516</v>
      </c>
      <c r="B21" s="55" t="s">
        <v>1517</v>
      </c>
      <c r="C21" s="19" t="s">
        <v>195</v>
      </c>
      <c r="D21" s="19" t="s">
        <v>1518</v>
      </c>
      <c r="E21" s="19" t="s">
        <v>1519</v>
      </c>
      <c r="F21" s="19" t="s">
        <v>1520</v>
      </c>
      <c r="G21" s="19" t="s">
        <v>6</v>
      </c>
      <c r="H21" s="20"/>
      <c r="I21" s="19" t="s">
        <v>1507</v>
      </c>
      <c r="J21" s="3"/>
      <c r="K21" s="3"/>
      <c r="L21" s="3"/>
      <c r="M21" s="3"/>
      <c r="N21" s="3"/>
      <c r="O21" s="3"/>
      <c r="P21" s="3"/>
      <c r="Q21" s="3"/>
      <c r="R21" s="3"/>
      <c r="S21" s="3"/>
      <c r="T21" s="3"/>
      <c r="U21" s="3"/>
      <c r="V21" s="3"/>
      <c r="W21" s="3"/>
      <c r="X21" s="3"/>
      <c r="Y21" s="3"/>
      <c r="Z21" s="3"/>
      <c r="AA21" s="3"/>
      <c r="AB21" s="3"/>
    </row>
    <row r="22">
      <c r="A22" s="19" t="s">
        <v>1521</v>
      </c>
      <c r="B22" s="56"/>
      <c r="C22" s="19" t="s">
        <v>195</v>
      </c>
      <c r="D22" s="19" t="s">
        <v>1522</v>
      </c>
      <c r="E22" s="19" t="s">
        <v>1523</v>
      </c>
      <c r="F22" s="19" t="s">
        <v>1520</v>
      </c>
      <c r="G22" s="19" t="s">
        <v>6</v>
      </c>
      <c r="H22" s="20"/>
      <c r="I22" s="19" t="s">
        <v>1507</v>
      </c>
      <c r="J22" s="3"/>
      <c r="K22" s="3"/>
      <c r="L22" s="3"/>
      <c r="M22" s="3"/>
      <c r="N22" s="3"/>
      <c r="O22" s="3"/>
      <c r="P22" s="3"/>
      <c r="Q22" s="3"/>
      <c r="R22" s="3"/>
      <c r="S22" s="3"/>
      <c r="T22" s="3"/>
      <c r="U22" s="3"/>
      <c r="V22" s="3"/>
      <c r="W22" s="3"/>
      <c r="X22" s="3"/>
      <c r="Y22" s="3"/>
      <c r="Z22" s="3"/>
      <c r="AA22" s="3"/>
      <c r="AB22" s="3"/>
    </row>
    <row r="23">
      <c r="A23" s="19" t="s">
        <v>1524</v>
      </c>
      <c r="B23" s="57"/>
      <c r="C23" s="19" t="s">
        <v>201</v>
      </c>
      <c r="D23" s="19" t="s">
        <v>1525</v>
      </c>
      <c r="E23" s="19" t="s">
        <v>1526</v>
      </c>
      <c r="F23" s="19" t="s">
        <v>1520</v>
      </c>
      <c r="G23" s="19" t="s">
        <v>6</v>
      </c>
      <c r="H23" s="20"/>
      <c r="I23" s="19" t="s">
        <v>1507</v>
      </c>
      <c r="J23" s="3"/>
      <c r="K23" s="3"/>
      <c r="L23" s="3"/>
      <c r="M23" s="3"/>
      <c r="N23" s="3"/>
      <c r="O23" s="3"/>
      <c r="P23" s="3"/>
      <c r="Q23" s="3"/>
      <c r="R23" s="3"/>
      <c r="S23" s="3"/>
      <c r="T23" s="3"/>
      <c r="U23" s="3"/>
      <c r="V23" s="3"/>
      <c r="W23" s="3"/>
      <c r="X23" s="3"/>
      <c r="Y23" s="3"/>
      <c r="Z23" s="3"/>
      <c r="AA23" s="3"/>
      <c r="AB23" s="3"/>
    </row>
    <row r="24">
      <c r="A24" s="19" t="s">
        <v>1527</v>
      </c>
      <c r="B24" s="55" t="s">
        <v>1528</v>
      </c>
      <c r="C24" s="19" t="s">
        <v>195</v>
      </c>
      <c r="D24" s="19" t="s">
        <v>1529</v>
      </c>
      <c r="E24" s="19" t="s">
        <v>1530</v>
      </c>
      <c r="F24" s="19" t="s">
        <v>1531</v>
      </c>
      <c r="G24" s="19" t="s">
        <v>6</v>
      </c>
      <c r="H24" s="20"/>
      <c r="I24" s="19" t="s">
        <v>1507</v>
      </c>
      <c r="J24" s="3"/>
      <c r="K24" s="3"/>
      <c r="L24" s="3"/>
      <c r="M24" s="3"/>
      <c r="N24" s="3"/>
      <c r="O24" s="3"/>
      <c r="P24" s="3"/>
      <c r="Q24" s="3"/>
      <c r="R24" s="3"/>
      <c r="S24" s="3"/>
      <c r="T24" s="3"/>
      <c r="U24" s="3"/>
      <c r="V24" s="3"/>
      <c r="W24" s="3"/>
      <c r="X24" s="3"/>
      <c r="Y24" s="3"/>
      <c r="Z24" s="3"/>
      <c r="AA24" s="3"/>
      <c r="AB24" s="3"/>
    </row>
    <row r="25">
      <c r="A25" s="19" t="s">
        <v>1532</v>
      </c>
      <c r="B25" s="57"/>
      <c r="C25" s="19" t="s">
        <v>201</v>
      </c>
      <c r="D25" s="19" t="s">
        <v>1533</v>
      </c>
      <c r="E25" s="19" t="s">
        <v>1534</v>
      </c>
      <c r="F25" s="19" t="s">
        <v>1531</v>
      </c>
      <c r="G25" s="19" t="s">
        <v>6</v>
      </c>
      <c r="H25" s="20"/>
      <c r="I25" s="19" t="s">
        <v>1507</v>
      </c>
      <c r="J25" s="3"/>
      <c r="K25" s="3"/>
      <c r="L25" s="3"/>
      <c r="M25" s="3"/>
      <c r="N25" s="3"/>
      <c r="O25" s="3"/>
      <c r="P25" s="3"/>
      <c r="Q25" s="3"/>
      <c r="R25" s="3"/>
      <c r="S25" s="3"/>
      <c r="T25" s="3"/>
      <c r="U25" s="3"/>
      <c r="V25" s="3"/>
      <c r="W25" s="3"/>
      <c r="X25" s="3"/>
      <c r="Y25" s="3"/>
      <c r="Z25" s="3"/>
      <c r="AA25" s="3"/>
      <c r="AB25" s="3"/>
    </row>
  </sheetData>
  <mergeCells count="12">
    <mergeCell ref="B13:I13"/>
    <mergeCell ref="B14:B17"/>
    <mergeCell ref="B18:B20"/>
    <mergeCell ref="B21:B23"/>
    <mergeCell ref="B24:B25"/>
    <mergeCell ref="B1:I1"/>
    <mergeCell ref="B2:I2"/>
    <mergeCell ref="B3:I3"/>
    <mergeCell ref="C4:E4"/>
    <mergeCell ref="F4:I4"/>
    <mergeCell ref="C5:E10"/>
    <mergeCell ref="F5:I10"/>
  </mergeCells>
  <dataValidations>
    <dataValidation type="list" allowBlank="1" showErrorMessage="1" sqref="G14:G25">
      <formula1>'SRS-ST'!$A$6:$A$8</formula1>
    </dataValidation>
    <dataValidation type="list" allowBlank="1" showErrorMessage="1" sqref="C14:C25">
      <formula1>"Positive,Negative,UI/UX"</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1483</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1274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COUNTA(D14:D18)</f>
        <v>5</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COUNTIFS(D14:D18, "&lt;&gt;", G14:G18, "&lt;&gt;Pending")</f>
        <v>2</v>
      </c>
      <c r="C5" s="11" t="s">
        <v>1535</v>
      </c>
      <c r="D5" s="12"/>
      <c r="E5" s="13"/>
      <c r="F5" s="11" t="s">
        <v>1536</v>
      </c>
      <c r="G5" s="12"/>
      <c r="H5" s="12"/>
      <c r="I5" s="13"/>
      <c r="J5" s="3"/>
      <c r="K5" s="3"/>
      <c r="L5" s="3"/>
      <c r="M5" s="3"/>
      <c r="N5" s="3"/>
      <c r="O5" s="3"/>
      <c r="P5" s="3"/>
      <c r="Q5" s="3"/>
      <c r="R5" s="3"/>
      <c r="S5" s="3"/>
      <c r="T5" s="3"/>
      <c r="U5" s="3"/>
      <c r="V5" s="3"/>
      <c r="W5" s="3"/>
      <c r="X5" s="3"/>
      <c r="Y5" s="3"/>
      <c r="Z5" s="3"/>
      <c r="AA5" s="3"/>
      <c r="AB5" s="3"/>
    </row>
    <row r="6">
      <c r="A6" s="6" t="s">
        <v>6</v>
      </c>
      <c r="B6" s="7">
        <f>B4-B5</f>
        <v>3</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COUNTIF($G$14:$G18,A7)</f>
        <v>2</v>
      </c>
      <c r="C7" s="14"/>
      <c r="E7" s="15"/>
      <c r="F7" s="14"/>
      <c r="I7" s="15"/>
      <c r="J7" s="3"/>
      <c r="K7" s="3"/>
      <c r="L7" s="3"/>
      <c r="M7" s="3"/>
      <c r="N7" s="3"/>
      <c r="O7" s="3"/>
      <c r="P7" s="3"/>
      <c r="Q7" s="3"/>
      <c r="R7" s="3"/>
      <c r="S7" s="3"/>
      <c r="T7" s="3"/>
      <c r="U7" s="3"/>
      <c r="V7" s="3"/>
      <c r="W7" s="3"/>
      <c r="X7" s="3"/>
      <c r="Y7" s="3"/>
      <c r="Z7" s="3"/>
      <c r="AA7" s="3"/>
      <c r="AB7" s="3"/>
    </row>
    <row r="8">
      <c r="A8" s="6" t="s">
        <v>8</v>
      </c>
      <c r="B8" s="7">
        <f t="shared" si="1"/>
        <v>0</v>
      </c>
      <c r="C8" s="14"/>
      <c r="E8" s="15"/>
      <c r="F8" s="14"/>
      <c r="I8" s="15"/>
      <c r="J8" s="3"/>
      <c r="K8" s="3"/>
      <c r="L8" s="3"/>
      <c r="M8" s="3"/>
      <c r="N8" s="3"/>
      <c r="O8" s="3"/>
      <c r="P8" s="3"/>
      <c r="Q8" s="3"/>
      <c r="R8" s="3"/>
      <c r="S8" s="3"/>
      <c r="T8" s="3"/>
      <c r="U8" s="3"/>
      <c r="V8" s="3"/>
      <c r="W8" s="3"/>
      <c r="X8" s="3"/>
      <c r="Y8" s="3"/>
      <c r="Z8" s="3"/>
      <c r="AA8" s="3"/>
      <c r="AB8" s="3"/>
    </row>
    <row r="9">
      <c r="A9" s="6" t="s">
        <v>184</v>
      </c>
      <c r="B9" s="23">
        <f>B7/B4</f>
        <v>0.4</v>
      </c>
      <c r="C9" s="14"/>
      <c r="E9" s="15"/>
      <c r="F9" s="14"/>
      <c r="I9" s="15"/>
      <c r="J9" s="3"/>
      <c r="K9" s="3"/>
      <c r="L9" s="3"/>
      <c r="M9" s="3"/>
      <c r="N9" s="3"/>
      <c r="O9" s="3"/>
      <c r="P9" s="3"/>
      <c r="Q9" s="3"/>
      <c r="R9" s="3"/>
      <c r="S9" s="3"/>
      <c r="T9" s="3"/>
      <c r="U9" s="3"/>
      <c r="V9" s="3"/>
      <c r="W9" s="3"/>
      <c r="X9" s="3"/>
      <c r="Y9" s="3"/>
      <c r="Z9" s="3"/>
      <c r="AA9" s="3"/>
      <c r="AB9" s="3"/>
    </row>
    <row r="10">
      <c r="A10" s="6" t="s">
        <v>9</v>
      </c>
      <c r="B10" s="7">
        <f>SUM(H14:H18)</f>
        <v>0</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40</v>
      </c>
      <c r="B13" s="47" t="s">
        <v>1537</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1538</v>
      </c>
      <c r="B14" s="55" t="s">
        <v>1539</v>
      </c>
      <c r="C14" s="19" t="s">
        <v>195</v>
      </c>
      <c r="D14" s="19" t="s">
        <v>1540</v>
      </c>
      <c r="E14" s="19" t="s">
        <v>1541</v>
      </c>
      <c r="F14" s="55" t="s">
        <v>1542</v>
      </c>
      <c r="G14" s="19" t="s">
        <v>7</v>
      </c>
      <c r="H14" s="20"/>
      <c r="I14" s="20"/>
      <c r="J14" s="3"/>
      <c r="K14" s="3"/>
      <c r="L14" s="3"/>
      <c r="M14" s="3"/>
      <c r="N14" s="3"/>
      <c r="O14" s="3"/>
      <c r="P14" s="3"/>
      <c r="Q14" s="3"/>
      <c r="R14" s="3"/>
      <c r="S14" s="3"/>
      <c r="T14" s="3"/>
      <c r="U14" s="3"/>
      <c r="V14" s="3"/>
      <c r="W14" s="3"/>
      <c r="X14" s="3"/>
      <c r="Y14" s="3"/>
      <c r="Z14" s="3"/>
      <c r="AA14" s="3"/>
      <c r="AB14" s="3"/>
    </row>
    <row r="15">
      <c r="A15" s="19" t="s">
        <v>1543</v>
      </c>
      <c r="B15" s="56"/>
      <c r="C15" s="19" t="s">
        <v>195</v>
      </c>
      <c r="D15" s="19" t="s">
        <v>1544</v>
      </c>
      <c r="E15" s="19" t="s">
        <v>1545</v>
      </c>
      <c r="F15" s="56"/>
      <c r="G15" s="19" t="s">
        <v>7</v>
      </c>
      <c r="H15" s="20"/>
      <c r="I15" s="20"/>
      <c r="J15" s="3"/>
      <c r="K15" s="3"/>
      <c r="L15" s="3"/>
      <c r="M15" s="3"/>
      <c r="N15" s="3"/>
      <c r="O15" s="3"/>
      <c r="P15" s="3"/>
      <c r="Q15" s="3"/>
      <c r="R15" s="3"/>
      <c r="S15" s="3"/>
      <c r="T15" s="3"/>
      <c r="U15" s="3"/>
      <c r="V15" s="3"/>
      <c r="W15" s="3"/>
      <c r="X15" s="3"/>
      <c r="Y15" s="3"/>
      <c r="Z15" s="3"/>
      <c r="AA15" s="3"/>
      <c r="AB15" s="3"/>
    </row>
    <row r="16">
      <c r="A16" s="59" t="s">
        <v>1546</v>
      </c>
      <c r="B16" s="60" t="s">
        <v>1547</v>
      </c>
      <c r="C16" s="19" t="s">
        <v>195</v>
      </c>
      <c r="D16" s="40" t="s">
        <v>1548</v>
      </c>
      <c r="E16" s="19" t="s">
        <v>1549</v>
      </c>
      <c r="F16" s="56"/>
      <c r="G16" s="19" t="s">
        <v>6</v>
      </c>
      <c r="H16" s="20"/>
      <c r="I16" s="19" t="s">
        <v>1550</v>
      </c>
      <c r="J16" s="3"/>
      <c r="K16" s="3"/>
      <c r="L16" s="3"/>
      <c r="M16" s="3"/>
      <c r="N16" s="3"/>
      <c r="O16" s="3"/>
      <c r="P16" s="3"/>
      <c r="Q16" s="3"/>
      <c r="R16" s="3"/>
      <c r="S16" s="3"/>
      <c r="T16" s="3"/>
      <c r="U16" s="3"/>
      <c r="V16" s="3"/>
      <c r="W16" s="3"/>
      <c r="X16" s="3"/>
      <c r="Y16" s="3"/>
      <c r="Z16" s="3"/>
      <c r="AA16" s="3"/>
      <c r="AB16" s="3"/>
    </row>
    <row r="17">
      <c r="A17" s="59" t="s">
        <v>1551</v>
      </c>
      <c r="B17" s="61"/>
      <c r="C17" s="19" t="s">
        <v>195</v>
      </c>
      <c r="D17" s="40" t="s">
        <v>1552</v>
      </c>
      <c r="E17" s="19" t="s">
        <v>1553</v>
      </c>
      <c r="F17" s="56"/>
      <c r="G17" s="19" t="s">
        <v>6</v>
      </c>
      <c r="H17" s="20"/>
      <c r="I17" s="19" t="s">
        <v>1550</v>
      </c>
      <c r="J17" s="3"/>
      <c r="K17" s="3"/>
      <c r="L17" s="3"/>
      <c r="M17" s="3"/>
      <c r="N17" s="3"/>
      <c r="O17" s="3"/>
      <c r="P17" s="3"/>
      <c r="Q17" s="3"/>
      <c r="R17" s="3"/>
      <c r="S17" s="3"/>
      <c r="T17" s="3"/>
      <c r="U17" s="3"/>
      <c r="V17" s="3"/>
      <c r="W17" s="3"/>
      <c r="X17" s="3"/>
      <c r="Y17" s="3"/>
      <c r="Z17" s="3"/>
      <c r="AA17" s="3"/>
      <c r="AB17" s="3"/>
    </row>
    <row r="18">
      <c r="A18" s="59" t="s">
        <v>1554</v>
      </c>
      <c r="B18" s="62"/>
      <c r="C18" s="19" t="s">
        <v>201</v>
      </c>
      <c r="D18" s="40" t="s">
        <v>1555</v>
      </c>
      <c r="E18" s="19" t="s">
        <v>1556</v>
      </c>
      <c r="F18" s="57"/>
      <c r="G18" s="19" t="s">
        <v>6</v>
      </c>
      <c r="H18" s="20"/>
      <c r="I18" s="19" t="s">
        <v>1550</v>
      </c>
      <c r="J18" s="3"/>
      <c r="K18" s="3"/>
      <c r="L18" s="3"/>
      <c r="M18" s="3"/>
      <c r="N18" s="3"/>
      <c r="O18" s="3"/>
      <c r="P18" s="3"/>
      <c r="Q18" s="3"/>
      <c r="R18" s="3"/>
      <c r="S18" s="3"/>
      <c r="T18" s="3"/>
      <c r="U18" s="3"/>
      <c r="V18" s="3"/>
      <c r="W18" s="3"/>
      <c r="X18" s="3"/>
      <c r="Y18" s="3"/>
      <c r="Z18" s="3"/>
      <c r="AA18" s="3"/>
      <c r="AB18" s="3"/>
    </row>
  </sheetData>
  <mergeCells count="11">
    <mergeCell ref="B13:I13"/>
    <mergeCell ref="B14:B15"/>
    <mergeCell ref="F14:F18"/>
    <mergeCell ref="B16:B18"/>
    <mergeCell ref="B1:I1"/>
    <mergeCell ref="B2:I2"/>
    <mergeCell ref="B3:I3"/>
    <mergeCell ref="C4:E4"/>
    <mergeCell ref="F4:I4"/>
    <mergeCell ref="C5:E10"/>
    <mergeCell ref="F5:I10"/>
  </mergeCells>
  <dataValidations>
    <dataValidation type="list" allowBlank="1" showErrorMessage="1" sqref="G14:G18">
      <formula1>'STK-ST'!$A$6:$A$8</formula1>
    </dataValidation>
    <dataValidation type="list" allowBlank="1" showErrorMessage="1" sqref="C14:C18">
      <formula1>"Positive,Negative,UI/UX"</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1483</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1274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COUNTA(D14:D17)</f>
        <v>4</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COUNTIFS(D14:D17, "&lt;&gt;", G14:G17, "&lt;&gt;Pending")</f>
        <v>4</v>
      </c>
      <c r="C5" s="11" t="s">
        <v>1557</v>
      </c>
      <c r="D5" s="12"/>
      <c r="E5" s="13"/>
      <c r="F5" s="11" t="s">
        <v>1558</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COUNTIF($G$14:$G17,A7)</f>
        <v>4</v>
      </c>
      <c r="C7" s="14"/>
      <c r="E7" s="15"/>
      <c r="F7" s="14"/>
      <c r="I7" s="15"/>
      <c r="J7" s="3"/>
      <c r="K7" s="3"/>
      <c r="L7" s="3"/>
      <c r="M7" s="3"/>
      <c r="N7" s="3"/>
      <c r="O7" s="3"/>
      <c r="P7" s="3"/>
      <c r="Q7" s="3"/>
      <c r="R7" s="3"/>
      <c r="S7" s="3"/>
      <c r="T7" s="3"/>
      <c r="U7" s="3"/>
      <c r="V7" s="3"/>
      <c r="W7" s="3"/>
      <c r="X7" s="3"/>
      <c r="Y7" s="3"/>
      <c r="Z7" s="3"/>
      <c r="AA7" s="3"/>
      <c r="AB7" s="3"/>
    </row>
    <row r="8">
      <c r="A8" s="6" t="s">
        <v>8</v>
      </c>
      <c r="B8" s="7">
        <f t="shared" si="1"/>
        <v>0</v>
      </c>
      <c r="C8" s="14"/>
      <c r="E8" s="15"/>
      <c r="F8" s="14"/>
      <c r="I8" s="15"/>
      <c r="J8" s="3"/>
      <c r="K8" s="3"/>
      <c r="L8" s="3"/>
      <c r="M8" s="3"/>
      <c r="N8" s="3"/>
      <c r="O8" s="3"/>
      <c r="P8" s="3"/>
      <c r="Q8" s="3"/>
      <c r="R8" s="3"/>
      <c r="S8" s="3"/>
      <c r="T8" s="3"/>
      <c r="U8" s="3"/>
      <c r="V8" s="3"/>
      <c r="W8" s="3"/>
      <c r="X8" s="3"/>
      <c r="Y8" s="3"/>
      <c r="Z8" s="3"/>
      <c r="AA8" s="3"/>
      <c r="AB8" s="3"/>
    </row>
    <row r="9">
      <c r="A9" s="6" t="s">
        <v>184</v>
      </c>
      <c r="B9" s="23">
        <f>B7/B4</f>
        <v>1</v>
      </c>
      <c r="C9" s="14"/>
      <c r="E9" s="15"/>
      <c r="F9" s="14"/>
      <c r="I9" s="15"/>
      <c r="J9" s="3"/>
      <c r="K9" s="3"/>
      <c r="L9" s="3"/>
      <c r="M9" s="3"/>
      <c r="N9" s="3"/>
      <c r="O9" s="3"/>
      <c r="P9" s="3"/>
      <c r="Q9" s="3"/>
      <c r="R9" s="3"/>
      <c r="S9" s="3"/>
      <c r="T9" s="3"/>
      <c r="U9" s="3"/>
      <c r="V9" s="3"/>
      <c r="W9" s="3"/>
      <c r="X9" s="3"/>
      <c r="Y9" s="3"/>
      <c r="Z9" s="3"/>
      <c r="AA9" s="3"/>
      <c r="AB9" s="3"/>
    </row>
    <row r="10">
      <c r="A10" s="6" t="s">
        <v>9</v>
      </c>
      <c r="B10" s="7">
        <f>SUM(H14:H17)</f>
        <v>0</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43</v>
      </c>
      <c r="B13" s="47" t="s">
        <v>1559</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1560</v>
      </c>
      <c r="B14" s="63" t="s">
        <v>1561</v>
      </c>
      <c r="C14" s="19" t="s">
        <v>600</v>
      </c>
      <c r="D14" s="19" t="s">
        <v>1562</v>
      </c>
      <c r="E14" s="19" t="s">
        <v>1563</v>
      </c>
      <c r="F14" s="19" t="s">
        <v>1564</v>
      </c>
      <c r="G14" s="19" t="s">
        <v>7</v>
      </c>
      <c r="H14" s="20"/>
      <c r="I14" s="20"/>
      <c r="J14" s="3"/>
      <c r="K14" s="3"/>
      <c r="L14" s="3"/>
      <c r="M14" s="3"/>
      <c r="N14" s="3"/>
      <c r="O14" s="3"/>
      <c r="P14" s="3"/>
      <c r="Q14" s="3"/>
      <c r="R14" s="3"/>
      <c r="S14" s="3"/>
      <c r="T14" s="3"/>
      <c r="U14" s="3"/>
      <c r="V14" s="3"/>
      <c r="W14" s="3"/>
      <c r="X14" s="3"/>
      <c r="Y14" s="3"/>
      <c r="Z14" s="3"/>
      <c r="AA14" s="3"/>
      <c r="AB14" s="3"/>
    </row>
    <row r="15">
      <c r="A15" s="21" t="s">
        <v>1565</v>
      </c>
      <c r="B15" s="56"/>
      <c r="C15" s="19" t="s">
        <v>201</v>
      </c>
      <c r="D15" s="19" t="s">
        <v>1566</v>
      </c>
      <c r="E15" s="19" t="s">
        <v>1567</v>
      </c>
      <c r="F15" s="19" t="s">
        <v>1564</v>
      </c>
      <c r="G15" s="19" t="s">
        <v>7</v>
      </c>
      <c r="H15" s="20"/>
      <c r="I15" s="20"/>
      <c r="J15" s="3"/>
      <c r="K15" s="3"/>
      <c r="L15" s="3"/>
      <c r="M15" s="3"/>
      <c r="N15" s="3"/>
      <c r="O15" s="3"/>
      <c r="P15" s="3"/>
      <c r="Q15" s="3"/>
      <c r="R15" s="3"/>
      <c r="S15" s="3"/>
      <c r="T15" s="3"/>
      <c r="U15" s="3"/>
      <c r="V15" s="3"/>
      <c r="W15" s="3"/>
      <c r="X15" s="3"/>
      <c r="Y15" s="3"/>
      <c r="Z15" s="3"/>
      <c r="AA15" s="3"/>
      <c r="AB15" s="3"/>
    </row>
    <row r="16">
      <c r="A16" s="19" t="s">
        <v>1568</v>
      </c>
      <c r="B16" s="56"/>
      <c r="C16" s="19" t="s">
        <v>600</v>
      </c>
      <c r="D16" s="19" t="s">
        <v>1569</v>
      </c>
      <c r="E16" s="19" t="s">
        <v>1570</v>
      </c>
      <c r="F16" s="19" t="s">
        <v>1564</v>
      </c>
      <c r="G16" s="19" t="s">
        <v>7</v>
      </c>
      <c r="H16" s="20"/>
      <c r="I16" s="20"/>
      <c r="J16" s="3"/>
      <c r="K16" s="3"/>
      <c r="L16" s="3"/>
      <c r="M16" s="3"/>
      <c r="N16" s="3"/>
      <c r="O16" s="3"/>
      <c r="P16" s="3"/>
      <c r="Q16" s="3"/>
      <c r="R16" s="3"/>
      <c r="S16" s="3"/>
      <c r="T16" s="3"/>
      <c r="U16" s="3"/>
      <c r="V16" s="3"/>
      <c r="W16" s="3"/>
      <c r="X16" s="3"/>
      <c r="Y16" s="3"/>
      <c r="Z16" s="3"/>
      <c r="AA16" s="3"/>
      <c r="AB16" s="3"/>
    </row>
    <row r="17">
      <c r="A17" s="19" t="s">
        <v>1571</v>
      </c>
      <c r="B17" s="57"/>
      <c r="C17" s="19" t="s">
        <v>201</v>
      </c>
      <c r="D17" s="19" t="s">
        <v>1572</v>
      </c>
      <c r="E17" s="19" t="s">
        <v>1573</v>
      </c>
      <c r="F17" s="19" t="s">
        <v>1564</v>
      </c>
      <c r="G17" s="19" t="s">
        <v>7</v>
      </c>
      <c r="H17" s="20"/>
      <c r="I17" s="20"/>
      <c r="J17" s="3"/>
      <c r="K17" s="3"/>
      <c r="L17" s="3"/>
      <c r="M17" s="3"/>
      <c r="N17" s="3"/>
      <c r="O17" s="3"/>
      <c r="P17" s="3"/>
      <c r="Q17" s="3"/>
      <c r="R17" s="3"/>
      <c r="S17" s="3"/>
      <c r="T17" s="3"/>
      <c r="U17" s="3"/>
      <c r="V17" s="3"/>
      <c r="W17" s="3"/>
      <c r="X17" s="3"/>
      <c r="Y17" s="3"/>
      <c r="Z17" s="3"/>
      <c r="AA17" s="3"/>
      <c r="AB17" s="3"/>
    </row>
  </sheetData>
  <mergeCells count="9">
    <mergeCell ref="B13:I13"/>
    <mergeCell ref="B14:B17"/>
    <mergeCell ref="B1:I1"/>
    <mergeCell ref="B2:I2"/>
    <mergeCell ref="B3:I3"/>
    <mergeCell ref="C4:E4"/>
    <mergeCell ref="F4:I4"/>
    <mergeCell ref="C5:E10"/>
    <mergeCell ref="F5:I10"/>
  </mergeCells>
  <dataValidations>
    <dataValidation type="list" allowBlank="1" showErrorMessage="1" sqref="G14:G17">
      <formula1>'PG-ST'!$A$6:$A$8</formula1>
    </dataValidation>
    <dataValidation type="list" allowBlank="1" showErrorMessage="1" sqref="C14:C17">
      <formula1>"Positive,Negative,UI/UX"</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1483</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1274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COUNTA(D14:D22)</f>
        <v>9</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COUNTIFS(D14:D22, "&lt;&gt;", G14:G22, "&lt;&gt;Pending")</f>
        <v>9</v>
      </c>
      <c r="C5" s="11" t="s">
        <v>1574</v>
      </c>
      <c r="D5" s="12"/>
      <c r="E5" s="13"/>
      <c r="F5" s="11" t="s">
        <v>1575</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COUNTIF($G$14:$G22,A7)</f>
        <v>7</v>
      </c>
      <c r="C7" s="14"/>
      <c r="E7" s="15"/>
      <c r="F7" s="14"/>
      <c r="I7" s="15"/>
      <c r="J7" s="3"/>
      <c r="K7" s="3"/>
      <c r="L7" s="3"/>
      <c r="M7" s="3"/>
      <c r="N7" s="3"/>
      <c r="O7" s="3"/>
      <c r="P7" s="3"/>
      <c r="Q7" s="3"/>
      <c r="R7" s="3"/>
      <c r="S7" s="3"/>
      <c r="T7" s="3"/>
      <c r="U7" s="3"/>
      <c r="V7" s="3"/>
      <c r="W7" s="3"/>
      <c r="X7" s="3"/>
      <c r="Y7" s="3"/>
      <c r="Z7" s="3"/>
      <c r="AA7" s="3"/>
      <c r="AB7" s="3"/>
    </row>
    <row r="8">
      <c r="A8" s="6" t="s">
        <v>8</v>
      </c>
      <c r="B8" s="7">
        <f t="shared" si="1"/>
        <v>2</v>
      </c>
      <c r="C8" s="14"/>
      <c r="E8" s="15"/>
      <c r="F8" s="14"/>
      <c r="I8" s="15"/>
      <c r="J8" s="3"/>
      <c r="K8" s="3"/>
      <c r="L8" s="3"/>
      <c r="M8" s="3"/>
      <c r="N8" s="3"/>
      <c r="O8" s="3"/>
      <c r="P8" s="3"/>
      <c r="Q8" s="3"/>
      <c r="R8" s="3"/>
      <c r="S8" s="3"/>
      <c r="T8" s="3"/>
      <c r="U8" s="3"/>
      <c r="V8" s="3"/>
      <c r="W8" s="3"/>
      <c r="X8" s="3"/>
      <c r="Y8" s="3"/>
      <c r="Z8" s="3"/>
      <c r="AA8" s="3"/>
      <c r="AB8" s="3"/>
    </row>
    <row r="9">
      <c r="A9" s="6" t="s">
        <v>184</v>
      </c>
      <c r="B9" s="23">
        <f>B7/B4</f>
        <v>0.7777777778</v>
      </c>
      <c r="C9" s="14"/>
      <c r="E9" s="15"/>
      <c r="F9" s="14"/>
      <c r="I9" s="15"/>
      <c r="J9" s="3"/>
      <c r="K9" s="3"/>
      <c r="L9" s="3"/>
      <c r="M9" s="3"/>
      <c r="N9" s="3"/>
      <c r="O9" s="3"/>
      <c r="P9" s="3"/>
      <c r="Q9" s="3"/>
      <c r="R9" s="3"/>
      <c r="S9" s="3"/>
      <c r="T9" s="3"/>
      <c r="U9" s="3"/>
      <c r="V9" s="3"/>
      <c r="W9" s="3"/>
      <c r="X9" s="3"/>
      <c r="Y9" s="3"/>
      <c r="Z9" s="3"/>
      <c r="AA9" s="3"/>
      <c r="AB9" s="3"/>
    </row>
    <row r="10">
      <c r="A10" s="6" t="s">
        <v>9</v>
      </c>
      <c r="B10" s="7">
        <f>SUM(H14:H22)</f>
        <v>1</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46</v>
      </c>
      <c r="B13" s="47" t="s">
        <v>1576</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1577</v>
      </c>
      <c r="B14" s="64" t="s">
        <v>1578</v>
      </c>
      <c r="C14" s="19" t="s">
        <v>195</v>
      </c>
      <c r="D14" s="19" t="s">
        <v>1579</v>
      </c>
      <c r="E14" s="19" t="s">
        <v>1580</v>
      </c>
      <c r="F14" s="19" t="s">
        <v>1581</v>
      </c>
      <c r="G14" s="19" t="s">
        <v>7</v>
      </c>
      <c r="H14" s="20"/>
      <c r="I14" s="20"/>
      <c r="J14" s="3"/>
      <c r="K14" s="3"/>
      <c r="L14" s="3"/>
      <c r="M14" s="3"/>
      <c r="N14" s="3"/>
      <c r="O14" s="3"/>
      <c r="P14" s="3"/>
      <c r="Q14" s="3"/>
      <c r="R14" s="3"/>
      <c r="S14" s="3"/>
      <c r="T14" s="3"/>
      <c r="U14" s="3"/>
      <c r="V14" s="3"/>
      <c r="W14" s="3"/>
      <c r="X14" s="3"/>
      <c r="Y14" s="3"/>
      <c r="Z14" s="3"/>
      <c r="AA14" s="3"/>
      <c r="AB14" s="3"/>
    </row>
    <row r="15">
      <c r="A15" s="19" t="s">
        <v>1582</v>
      </c>
      <c r="B15" s="15"/>
      <c r="C15" s="19" t="s">
        <v>195</v>
      </c>
      <c r="D15" s="19" t="s">
        <v>1583</v>
      </c>
      <c r="E15" s="19" t="s">
        <v>1584</v>
      </c>
      <c r="F15" s="19" t="s">
        <v>1581</v>
      </c>
      <c r="G15" s="19" t="s">
        <v>8</v>
      </c>
      <c r="H15" s="19">
        <v>1.0</v>
      </c>
      <c r="I15" s="19" t="s">
        <v>1585</v>
      </c>
      <c r="J15" s="3"/>
      <c r="K15" s="3"/>
      <c r="L15" s="3"/>
      <c r="M15" s="3"/>
      <c r="N15" s="3"/>
      <c r="O15" s="3"/>
      <c r="P15" s="3"/>
      <c r="Q15" s="3"/>
      <c r="R15" s="3"/>
      <c r="S15" s="3"/>
      <c r="T15" s="3"/>
      <c r="U15" s="3"/>
      <c r="V15" s="3"/>
      <c r="W15" s="3"/>
      <c r="X15" s="3"/>
      <c r="Y15" s="3"/>
      <c r="Z15" s="3"/>
      <c r="AA15" s="3"/>
      <c r="AB15" s="3"/>
    </row>
    <row r="16">
      <c r="A16" s="19" t="s">
        <v>1586</v>
      </c>
      <c r="B16" s="15"/>
      <c r="C16" s="19" t="s">
        <v>201</v>
      </c>
      <c r="D16" s="19" t="s">
        <v>1587</v>
      </c>
      <c r="E16" s="19" t="s">
        <v>1588</v>
      </c>
      <c r="F16" s="19" t="s">
        <v>1581</v>
      </c>
      <c r="G16" s="19" t="s">
        <v>7</v>
      </c>
      <c r="H16" s="20"/>
      <c r="I16" s="20"/>
      <c r="J16" s="3"/>
      <c r="K16" s="3"/>
      <c r="L16" s="3"/>
      <c r="M16" s="3"/>
      <c r="N16" s="3"/>
      <c r="O16" s="3"/>
      <c r="P16" s="3"/>
      <c r="Q16" s="3"/>
      <c r="R16" s="3"/>
      <c r="S16" s="3"/>
      <c r="T16" s="3"/>
      <c r="U16" s="3"/>
      <c r="V16" s="3"/>
      <c r="W16" s="3"/>
      <c r="X16" s="3"/>
      <c r="Y16" s="3"/>
      <c r="Z16" s="3"/>
      <c r="AA16" s="3"/>
      <c r="AB16" s="3"/>
    </row>
    <row r="17">
      <c r="A17" s="19" t="s">
        <v>1589</v>
      </c>
      <c r="B17" s="17"/>
      <c r="C17" s="19" t="s">
        <v>201</v>
      </c>
      <c r="D17" s="19" t="s">
        <v>1590</v>
      </c>
      <c r="E17" s="19" t="s">
        <v>1591</v>
      </c>
      <c r="F17" s="19" t="s">
        <v>1581</v>
      </c>
      <c r="G17" s="19" t="s">
        <v>7</v>
      </c>
      <c r="H17" s="20"/>
      <c r="I17" s="20"/>
      <c r="J17" s="3"/>
      <c r="K17" s="3"/>
      <c r="L17" s="3"/>
      <c r="M17" s="3"/>
      <c r="N17" s="3"/>
      <c r="O17" s="3"/>
      <c r="P17" s="3"/>
      <c r="Q17" s="3"/>
      <c r="R17" s="3"/>
      <c r="S17" s="3"/>
      <c r="T17" s="3"/>
      <c r="U17" s="3"/>
      <c r="V17" s="3"/>
      <c r="W17" s="3"/>
      <c r="X17" s="3"/>
      <c r="Y17" s="3"/>
      <c r="Z17" s="3"/>
      <c r="AA17" s="3"/>
      <c r="AB17" s="3"/>
    </row>
    <row r="18">
      <c r="A18" s="19" t="s">
        <v>1592</v>
      </c>
      <c r="B18" s="19" t="s">
        <v>1593</v>
      </c>
      <c r="C18" s="19" t="s">
        <v>201</v>
      </c>
      <c r="D18" s="19" t="s">
        <v>1594</v>
      </c>
      <c r="E18" s="19" t="s">
        <v>1595</v>
      </c>
      <c r="F18" s="19" t="s">
        <v>1596</v>
      </c>
      <c r="G18" s="19" t="s">
        <v>7</v>
      </c>
      <c r="H18" s="20"/>
      <c r="I18" s="20"/>
      <c r="J18" s="3"/>
      <c r="K18" s="3"/>
      <c r="L18" s="3"/>
      <c r="M18" s="3"/>
      <c r="N18" s="3"/>
      <c r="O18" s="3"/>
      <c r="P18" s="3"/>
      <c r="Q18" s="3"/>
      <c r="R18" s="3"/>
      <c r="S18" s="3"/>
      <c r="T18" s="3"/>
      <c r="U18" s="3"/>
      <c r="V18" s="3"/>
      <c r="W18" s="3"/>
      <c r="X18" s="3"/>
      <c r="Y18" s="3"/>
      <c r="Z18" s="3"/>
      <c r="AA18" s="3"/>
      <c r="AB18" s="3"/>
    </row>
    <row r="19">
      <c r="A19" s="19" t="s">
        <v>1597</v>
      </c>
      <c r="B19" s="55" t="s">
        <v>1598</v>
      </c>
      <c r="C19" s="19"/>
      <c r="D19" s="19" t="s">
        <v>1599</v>
      </c>
      <c r="E19" s="19" t="s">
        <v>1600</v>
      </c>
      <c r="F19" s="19" t="s">
        <v>1601</v>
      </c>
      <c r="G19" s="19" t="s">
        <v>7</v>
      </c>
      <c r="H19" s="20"/>
      <c r="I19" s="20"/>
      <c r="J19" s="3"/>
      <c r="K19" s="3"/>
      <c r="L19" s="3"/>
      <c r="M19" s="3"/>
      <c r="N19" s="3"/>
      <c r="O19" s="3"/>
      <c r="P19" s="3"/>
      <c r="Q19" s="3"/>
      <c r="R19" s="3"/>
      <c r="S19" s="3"/>
      <c r="T19" s="3"/>
      <c r="U19" s="3"/>
      <c r="V19" s="3"/>
      <c r="W19" s="3"/>
      <c r="X19" s="3"/>
      <c r="Y19" s="3"/>
      <c r="Z19" s="3"/>
      <c r="AA19" s="3"/>
      <c r="AB19" s="3"/>
    </row>
    <row r="20">
      <c r="A20" s="19" t="s">
        <v>1602</v>
      </c>
      <c r="B20" s="56"/>
      <c r="C20" s="19"/>
      <c r="D20" s="19" t="s">
        <v>1603</v>
      </c>
      <c r="E20" s="19" t="s">
        <v>1604</v>
      </c>
      <c r="F20" s="19" t="s">
        <v>1601</v>
      </c>
      <c r="G20" s="19" t="s">
        <v>7</v>
      </c>
      <c r="H20" s="20"/>
      <c r="I20" s="20"/>
      <c r="J20" s="3"/>
      <c r="K20" s="3"/>
      <c r="L20" s="3"/>
      <c r="M20" s="3"/>
      <c r="N20" s="3"/>
      <c r="O20" s="3"/>
      <c r="P20" s="3"/>
      <c r="Q20" s="3"/>
      <c r="R20" s="3"/>
      <c r="S20" s="3"/>
      <c r="T20" s="3"/>
      <c r="U20" s="3"/>
      <c r="V20" s="3"/>
      <c r="W20" s="3"/>
      <c r="X20" s="3"/>
      <c r="Y20" s="3"/>
      <c r="Z20" s="3"/>
      <c r="AA20" s="3"/>
      <c r="AB20" s="3"/>
    </row>
    <row r="21">
      <c r="A21" s="19" t="s">
        <v>1605</v>
      </c>
      <c r="B21" s="56"/>
      <c r="C21" s="19"/>
      <c r="D21" s="19" t="s">
        <v>1606</v>
      </c>
      <c r="E21" s="19" t="s">
        <v>1607</v>
      </c>
      <c r="F21" s="19" t="s">
        <v>1601</v>
      </c>
      <c r="G21" s="19" t="s">
        <v>7</v>
      </c>
      <c r="H21" s="20"/>
      <c r="I21" s="20"/>
      <c r="J21" s="3"/>
      <c r="K21" s="3"/>
      <c r="L21" s="3"/>
      <c r="M21" s="3"/>
      <c r="N21" s="3"/>
      <c r="O21" s="3"/>
      <c r="P21" s="3"/>
      <c r="Q21" s="3"/>
      <c r="R21" s="3"/>
      <c r="S21" s="3"/>
      <c r="T21" s="3"/>
      <c r="U21" s="3"/>
      <c r="V21" s="3"/>
      <c r="W21" s="3"/>
      <c r="X21" s="3"/>
      <c r="Y21" s="3"/>
      <c r="Z21" s="3"/>
      <c r="AA21" s="3"/>
      <c r="AB21" s="3"/>
    </row>
    <row r="22">
      <c r="A22" s="19" t="s">
        <v>1608</v>
      </c>
      <c r="B22" s="57"/>
      <c r="C22" s="19"/>
      <c r="D22" s="19" t="s">
        <v>1609</v>
      </c>
      <c r="E22" s="19" t="s">
        <v>1610</v>
      </c>
      <c r="F22" s="19" t="s">
        <v>1601</v>
      </c>
      <c r="G22" s="19" t="s">
        <v>8</v>
      </c>
      <c r="H22" s="20"/>
      <c r="I22" s="19" t="s">
        <v>1611</v>
      </c>
      <c r="J22" s="3"/>
      <c r="K22" s="3"/>
      <c r="L22" s="3"/>
      <c r="M22" s="3"/>
      <c r="N22" s="3"/>
      <c r="O22" s="3"/>
      <c r="P22" s="3"/>
      <c r="Q22" s="3"/>
      <c r="R22" s="3"/>
      <c r="S22" s="3"/>
      <c r="T22" s="3"/>
      <c r="U22" s="3"/>
      <c r="V22" s="3"/>
      <c r="W22" s="3"/>
      <c r="X22" s="3"/>
      <c r="Y22" s="3"/>
      <c r="Z22" s="3"/>
      <c r="AA22" s="3"/>
      <c r="AB22" s="3"/>
    </row>
  </sheetData>
  <mergeCells count="10">
    <mergeCell ref="B13:I13"/>
    <mergeCell ref="B14:B17"/>
    <mergeCell ref="B19:B22"/>
    <mergeCell ref="B1:I1"/>
    <mergeCell ref="B2:I2"/>
    <mergeCell ref="B3:I3"/>
    <mergeCell ref="C4:E4"/>
    <mergeCell ref="F4:I4"/>
    <mergeCell ref="C5:E10"/>
    <mergeCell ref="F5:I10"/>
  </mergeCells>
  <dataValidations>
    <dataValidation type="list" allowBlank="1" showErrorMessage="1" sqref="C14:C22">
      <formula1>"Positive,Negative,UI/UX"</formula1>
    </dataValidation>
    <dataValidation type="list" allowBlank="1" showErrorMessage="1" sqref="G14:G22">
      <formula1>'RV-ST'!$A$6:$A$8</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13"/>
    <col customWidth="1" min="2" max="3" width="16.13"/>
    <col customWidth="1" min="4" max="6" width="32.13"/>
    <col customWidth="1" min="7" max="7" width="16.13"/>
    <col customWidth="1" min="8" max="8" width="8.13"/>
    <col customWidth="1" min="9" max="9" width="32.13"/>
  </cols>
  <sheetData>
    <row r="1" ht="31.5" customHeight="1">
      <c r="A1" s="6" t="s">
        <v>0</v>
      </c>
      <c r="B1" s="22" t="s">
        <v>1</v>
      </c>
      <c r="C1" s="9"/>
      <c r="D1" s="9"/>
      <c r="E1" s="9"/>
      <c r="F1" s="9"/>
      <c r="G1" s="9"/>
      <c r="H1" s="9"/>
      <c r="I1" s="10"/>
      <c r="J1" s="3"/>
      <c r="K1" s="3"/>
      <c r="L1" s="3"/>
      <c r="M1" s="3"/>
      <c r="N1" s="3"/>
      <c r="O1" s="3"/>
      <c r="P1" s="3"/>
      <c r="Q1" s="3"/>
      <c r="R1" s="3"/>
      <c r="S1" s="3"/>
      <c r="T1" s="3"/>
      <c r="U1" s="3"/>
      <c r="V1" s="3"/>
      <c r="W1" s="3"/>
      <c r="X1" s="3"/>
      <c r="Y1" s="3"/>
      <c r="Z1" s="3"/>
      <c r="AA1" s="3"/>
      <c r="AB1" s="3"/>
    </row>
    <row r="2" ht="31.5" customHeight="1">
      <c r="A2" s="6" t="s">
        <v>178</v>
      </c>
      <c r="B2" s="22" t="s">
        <v>1483</v>
      </c>
      <c r="C2" s="9"/>
      <c r="D2" s="9"/>
      <c r="E2" s="9"/>
      <c r="F2" s="9"/>
      <c r="G2" s="9"/>
      <c r="H2" s="9"/>
      <c r="I2" s="10"/>
      <c r="J2" s="3"/>
      <c r="K2" s="3"/>
      <c r="L2" s="3"/>
      <c r="M2" s="3"/>
      <c r="N2" s="3"/>
      <c r="O2" s="3"/>
      <c r="P2" s="3"/>
      <c r="Q2" s="3"/>
      <c r="R2" s="3"/>
      <c r="S2" s="3"/>
      <c r="T2" s="3"/>
      <c r="U2" s="3"/>
      <c r="V2" s="3"/>
      <c r="W2" s="3"/>
      <c r="X2" s="3"/>
      <c r="Y2" s="3"/>
      <c r="Z2" s="3"/>
      <c r="AA2" s="3"/>
      <c r="AB2" s="3"/>
    </row>
    <row r="3" ht="31.5" customHeight="1">
      <c r="A3" s="6" t="s">
        <v>180</v>
      </c>
      <c r="B3" s="22" t="s">
        <v>1274</v>
      </c>
      <c r="C3" s="9"/>
      <c r="D3" s="9"/>
      <c r="E3" s="9"/>
      <c r="F3" s="9"/>
      <c r="G3" s="9"/>
      <c r="H3" s="9"/>
      <c r="I3" s="10"/>
      <c r="J3" s="3"/>
      <c r="K3" s="3"/>
      <c r="L3" s="3"/>
      <c r="M3" s="3"/>
      <c r="N3" s="3"/>
      <c r="O3" s="3"/>
      <c r="P3" s="3"/>
      <c r="Q3" s="3"/>
      <c r="R3" s="3"/>
      <c r="S3" s="3"/>
      <c r="T3" s="3"/>
      <c r="U3" s="3"/>
      <c r="V3" s="3"/>
      <c r="W3" s="3"/>
      <c r="X3" s="3"/>
      <c r="Y3" s="3"/>
      <c r="Z3" s="3"/>
      <c r="AA3" s="3"/>
      <c r="AB3" s="3"/>
    </row>
    <row r="4">
      <c r="A4" s="6" t="s">
        <v>2</v>
      </c>
      <c r="B4" s="7">
        <f>COUNTA(D14:D17)</f>
        <v>4</v>
      </c>
      <c r="C4" s="8" t="s">
        <v>10</v>
      </c>
      <c r="D4" s="9"/>
      <c r="E4" s="10"/>
      <c r="F4" s="8" t="s">
        <v>3</v>
      </c>
      <c r="G4" s="9"/>
      <c r="H4" s="9"/>
      <c r="I4" s="10"/>
      <c r="J4" s="3"/>
      <c r="K4" s="3"/>
      <c r="L4" s="3"/>
      <c r="M4" s="3"/>
      <c r="N4" s="3"/>
      <c r="O4" s="3"/>
      <c r="P4" s="3"/>
      <c r="Q4" s="3"/>
      <c r="R4" s="3"/>
      <c r="S4" s="3"/>
      <c r="T4" s="3"/>
      <c r="U4" s="3"/>
      <c r="V4" s="3"/>
      <c r="W4" s="3"/>
      <c r="X4" s="3"/>
      <c r="Y4" s="3"/>
      <c r="Z4" s="3"/>
      <c r="AA4" s="3"/>
      <c r="AB4" s="3"/>
    </row>
    <row r="5">
      <c r="A5" s="6" t="s">
        <v>4</v>
      </c>
      <c r="B5" s="7">
        <f>COUNTIFS(D14:D17, "&lt;&gt;", G14:G17, "&lt;&gt;Pending")</f>
        <v>4</v>
      </c>
      <c r="C5" s="11" t="s">
        <v>1612</v>
      </c>
      <c r="D5" s="12"/>
      <c r="E5" s="13"/>
      <c r="F5" s="11" t="s">
        <v>1613</v>
      </c>
      <c r="G5" s="12"/>
      <c r="H5" s="12"/>
      <c r="I5" s="13"/>
      <c r="J5" s="3"/>
      <c r="K5" s="3"/>
      <c r="L5" s="3"/>
      <c r="M5" s="3"/>
      <c r="N5" s="3"/>
      <c r="O5" s="3"/>
      <c r="P5" s="3"/>
      <c r="Q5" s="3"/>
      <c r="R5" s="3"/>
      <c r="S5" s="3"/>
      <c r="T5" s="3"/>
      <c r="U5" s="3"/>
      <c r="V5" s="3"/>
      <c r="W5" s="3"/>
      <c r="X5" s="3"/>
      <c r="Y5" s="3"/>
      <c r="Z5" s="3"/>
      <c r="AA5" s="3"/>
      <c r="AB5" s="3"/>
    </row>
    <row r="6">
      <c r="A6" s="6" t="s">
        <v>6</v>
      </c>
      <c r="B6" s="7">
        <f>B4-B5</f>
        <v>0</v>
      </c>
      <c r="C6" s="14"/>
      <c r="E6" s="15"/>
      <c r="F6" s="14"/>
      <c r="I6" s="15"/>
      <c r="J6" s="3"/>
      <c r="K6" s="3"/>
      <c r="L6" s="3"/>
      <c r="M6" s="3"/>
      <c r="N6" s="3"/>
      <c r="O6" s="3"/>
      <c r="P6" s="3"/>
      <c r="Q6" s="3"/>
      <c r="R6" s="3"/>
      <c r="S6" s="3"/>
      <c r="T6" s="3"/>
      <c r="U6" s="3"/>
      <c r="V6" s="3"/>
      <c r="W6" s="3"/>
      <c r="X6" s="3"/>
      <c r="Y6" s="3"/>
      <c r="Z6" s="3"/>
      <c r="AA6" s="3"/>
      <c r="AB6" s="3"/>
    </row>
    <row r="7">
      <c r="A7" s="6" t="s">
        <v>7</v>
      </c>
      <c r="B7" s="7">
        <f t="shared" ref="B7:B8" si="1">COUNTIF($G$14:$G17,A7)</f>
        <v>3</v>
      </c>
      <c r="C7" s="14"/>
      <c r="E7" s="15"/>
      <c r="F7" s="14"/>
      <c r="I7" s="15"/>
      <c r="J7" s="3"/>
      <c r="K7" s="3"/>
      <c r="L7" s="3"/>
      <c r="M7" s="3"/>
      <c r="N7" s="3"/>
      <c r="O7" s="3"/>
      <c r="P7" s="3"/>
      <c r="Q7" s="3"/>
      <c r="R7" s="3"/>
      <c r="S7" s="3"/>
      <c r="T7" s="3"/>
      <c r="U7" s="3"/>
      <c r="V7" s="3"/>
      <c r="W7" s="3"/>
      <c r="X7" s="3"/>
      <c r="Y7" s="3"/>
      <c r="Z7" s="3"/>
      <c r="AA7" s="3"/>
      <c r="AB7" s="3"/>
    </row>
    <row r="8">
      <c r="A8" s="6" t="s">
        <v>8</v>
      </c>
      <c r="B8" s="7">
        <f t="shared" si="1"/>
        <v>1</v>
      </c>
      <c r="C8" s="14"/>
      <c r="E8" s="15"/>
      <c r="F8" s="14"/>
      <c r="I8" s="15"/>
      <c r="J8" s="3"/>
      <c r="K8" s="3"/>
      <c r="L8" s="3"/>
      <c r="M8" s="3"/>
      <c r="N8" s="3"/>
      <c r="O8" s="3"/>
      <c r="P8" s="3"/>
      <c r="Q8" s="3"/>
      <c r="R8" s="3"/>
      <c r="S8" s="3"/>
      <c r="T8" s="3"/>
      <c r="U8" s="3"/>
      <c r="V8" s="3"/>
      <c r="W8" s="3"/>
      <c r="X8" s="3"/>
      <c r="Y8" s="3"/>
      <c r="Z8" s="3"/>
      <c r="AA8" s="3"/>
      <c r="AB8" s="3"/>
    </row>
    <row r="9">
      <c r="A9" s="6" t="s">
        <v>184</v>
      </c>
      <c r="B9" s="23">
        <f>B7/B4</f>
        <v>0.75</v>
      </c>
      <c r="C9" s="14"/>
      <c r="E9" s="15"/>
      <c r="F9" s="14"/>
      <c r="I9" s="15"/>
      <c r="J9" s="3"/>
      <c r="K9" s="3"/>
      <c r="L9" s="3"/>
      <c r="M9" s="3"/>
      <c r="N9" s="3"/>
      <c r="O9" s="3"/>
      <c r="P9" s="3"/>
      <c r="Q9" s="3"/>
      <c r="R9" s="3"/>
      <c r="S9" s="3"/>
      <c r="T9" s="3"/>
      <c r="U9" s="3"/>
      <c r="V9" s="3"/>
      <c r="W9" s="3"/>
      <c r="X9" s="3"/>
      <c r="Y9" s="3"/>
      <c r="Z9" s="3"/>
      <c r="AA9" s="3"/>
      <c r="AB9" s="3"/>
    </row>
    <row r="10">
      <c r="A10" s="6" t="s">
        <v>9</v>
      </c>
      <c r="B10" s="7">
        <f>SUM(H14:H17)</f>
        <v>1</v>
      </c>
      <c r="C10" s="16"/>
      <c r="D10" s="18"/>
      <c r="E10" s="17"/>
      <c r="F10" s="16"/>
      <c r="G10" s="18"/>
      <c r="H10" s="18"/>
      <c r="I10" s="17"/>
      <c r="J10" s="3"/>
      <c r="K10" s="3"/>
      <c r="L10" s="3"/>
      <c r="M10" s="3"/>
      <c r="N10" s="3"/>
      <c r="O10" s="3"/>
      <c r="P10" s="3"/>
      <c r="Q10" s="3"/>
      <c r="R10" s="3"/>
      <c r="S10" s="3"/>
      <c r="T10" s="3"/>
      <c r="U10" s="3"/>
      <c r="V10" s="3"/>
      <c r="W10" s="3"/>
      <c r="X10" s="3"/>
      <c r="Y10" s="3"/>
      <c r="Z10" s="3"/>
      <c r="AA10" s="3"/>
      <c r="AB10" s="3"/>
    </row>
    <row r="11">
      <c r="A11" s="5"/>
      <c r="B11" s="5"/>
      <c r="C11" s="5"/>
      <c r="D11" s="5"/>
      <c r="E11" s="5"/>
      <c r="F11" s="5"/>
      <c r="G11" s="5"/>
      <c r="H11" s="5"/>
      <c r="I11" s="5"/>
      <c r="J11" s="3"/>
      <c r="K11" s="3"/>
      <c r="L11" s="3"/>
      <c r="M11" s="3"/>
      <c r="N11" s="3"/>
      <c r="O11" s="3"/>
      <c r="P11" s="3"/>
      <c r="Q11" s="3"/>
      <c r="R11" s="3"/>
      <c r="S11" s="3"/>
      <c r="T11" s="3"/>
      <c r="U11" s="3"/>
      <c r="V11" s="3"/>
      <c r="W11" s="3"/>
      <c r="X11" s="3"/>
      <c r="Y11" s="3"/>
      <c r="Z11" s="3"/>
      <c r="AA11" s="3"/>
      <c r="AB11" s="3"/>
    </row>
    <row r="12" ht="36.0" customHeight="1">
      <c r="A12" s="6" t="s">
        <v>12</v>
      </c>
      <c r="B12" s="6" t="s">
        <v>14</v>
      </c>
      <c r="C12" s="6" t="s">
        <v>834</v>
      </c>
      <c r="D12" s="6" t="s">
        <v>186</v>
      </c>
      <c r="E12" s="6" t="s">
        <v>187</v>
      </c>
      <c r="F12" s="6" t="s">
        <v>188</v>
      </c>
      <c r="G12" s="6" t="s">
        <v>189</v>
      </c>
      <c r="H12" s="6" t="s">
        <v>190</v>
      </c>
      <c r="I12" s="6" t="s">
        <v>191</v>
      </c>
      <c r="J12" s="3"/>
      <c r="K12" s="3"/>
      <c r="L12" s="3"/>
      <c r="M12" s="3"/>
      <c r="N12" s="3"/>
      <c r="O12" s="3"/>
      <c r="P12" s="3"/>
      <c r="Q12" s="3"/>
      <c r="R12" s="3"/>
      <c r="S12" s="3"/>
      <c r="T12" s="3"/>
      <c r="U12" s="3"/>
      <c r="V12" s="3"/>
      <c r="W12" s="3"/>
      <c r="X12" s="3"/>
      <c r="Y12" s="3"/>
      <c r="Z12" s="3"/>
      <c r="AA12" s="3"/>
      <c r="AB12" s="3"/>
    </row>
    <row r="13">
      <c r="A13" s="46" t="s">
        <v>49</v>
      </c>
      <c r="B13" s="47" t="s">
        <v>1614</v>
      </c>
      <c r="C13" s="9"/>
      <c r="D13" s="9"/>
      <c r="E13" s="9"/>
      <c r="F13" s="9"/>
      <c r="G13" s="9"/>
      <c r="H13" s="9"/>
      <c r="I13" s="10"/>
      <c r="J13" s="3"/>
      <c r="K13" s="3"/>
      <c r="L13" s="3"/>
      <c r="M13" s="3"/>
      <c r="N13" s="3"/>
      <c r="O13" s="3"/>
      <c r="P13" s="3"/>
      <c r="Q13" s="3"/>
      <c r="R13" s="3"/>
      <c r="S13" s="3"/>
      <c r="T13" s="3"/>
      <c r="U13" s="3"/>
      <c r="V13" s="3"/>
      <c r="W13" s="3"/>
      <c r="X13" s="3"/>
      <c r="Y13" s="3"/>
      <c r="Z13" s="3"/>
      <c r="AA13" s="3"/>
      <c r="AB13" s="3"/>
    </row>
    <row r="14">
      <c r="A14" s="19" t="s">
        <v>1597</v>
      </c>
      <c r="B14" s="55" t="s">
        <v>1598</v>
      </c>
      <c r="C14" s="19" t="s">
        <v>201</v>
      </c>
      <c r="D14" s="19" t="s">
        <v>1599</v>
      </c>
      <c r="E14" s="19" t="s">
        <v>1600</v>
      </c>
      <c r="F14" s="19" t="s">
        <v>1601</v>
      </c>
      <c r="G14" s="19" t="s">
        <v>7</v>
      </c>
      <c r="H14" s="20"/>
      <c r="I14" s="20"/>
      <c r="J14" s="3"/>
      <c r="K14" s="3"/>
      <c r="L14" s="3"/>
      <c r="M14" s="3"/>
      <c r="N14" s="3"/>
      <c r="O14" s="3"/>
      <c r="P14" s="3"/>
      <c r="Q14" s="3"/>
      <c r="R14" s="3"/>
      <c r="S14" s="3"/>
      <c r="T14" s="3"/>
      <c r="U14" s="3"/>
      <c r="V14" s="3"/>
      <c r="W14" s="3"/>
      <c r="X14" s="3"/>
      <c r="Y14" s="3"/>
      <c r="Z14" s="3"/>
      <c r="AA14" s="3"/>
      <c r="AB14" s="3"/>
    </row>
    <row r="15">
      <c r="A15" s="19" t="s">
        <v>1602</v>
      </c>
      <c r="B15" s="56"/>
      <c r="C15" s="19" t="s">
        <v>201</v>
      </c>
      <c r="D15" s="19" t="s">
        <v>1603</v>
      </c>
      <c r="E15" s="19" t="s">
        <v>1604</v>
      </c>
      <c r="F15" s="19" t="s">
        <v>1601</v>
      </c>
      <c r="G15" s="19" t="s">
        <v>7</v>
      </c>
      <c r="H15" s="20"/>
      <c r="I15" s="20"/>
      <c r="J15" s="3"/>
      <c r="K15" s="3"/>
      <c r="L15" s="3"/>
      <c r="M15" s="3"/>
      <c r="N15" s="3"/>
      <c r="O15" s="3"/>
      <c r="P15" s="3"/>
      <c r="Q15" s="3"/>
      <c r="R15" s="3"/>
      <c r="S15" s="3"/>
      <c r="T15" s="3"/>
      <c r="U15" s="3"/>
      <c r="V15" s="3"/>
      <c r="W15" s="3"/>
      <c r="X15" s="3"/>
      <c r="Y15" s="3"/>
      <c r="Z15" s="3"/>
      <c r="AA15" s="3"/>
      <c r="AB15" s="3"/>
    </row>
    <row r="16">
      <c r="A16" s="19" t="s">
        <v>1605</v>
      </c>
      <c r="B16" s="56"/>
      <c r="C16" s="19" t="s">
        <v>201</v>
      </c>
      <c r="D16" s="19" t="s">
        <v>1606</v>
      </c>
      <c r="E16" s="19" t="s">
        <v>1607</v>
      </c>
      <c r="F16" s="19" t="s">
        <v>1601</v>
      </c>
      <c r="G16" s="19" t="s">
        <v>7</v>
      </c>
      <c r="H16" s="20"/>
      <c r="I16" s="20"/>
      <c r="J16" s="3"/>
      <c r="K16" s="3"/>
      <c r="L16" s="3"/>
      <c r="M16" s="3"/>
      <c r="N16" s="3"/>
      <c r="O16" s="3"/>
      <c r="P16" s="3"/>
      <c r="Q16" s="3"/>
      <c r="R16" s="3"/>
      <c r="S16" s="3"/>
      <c r="T16" s="3"/>
      <c r="U16" s="3"/>
      <c r="V16" s="3"/>
      <c r="W16" s="3"/>
      <c r="X16" s="3"/>
      <c r="Y16" s="3"/>
      <c r="Z16" s="3"/>
      <c r="AA16" s="3"/>
      <c r="AB16" s="3"/>
    </row>
    <row r="17">
      <c r="A17" s="19" t="s">
        <v>1608</v>
      </c>
      <c r="B17" s="57"/>
      <c r="C17" s="19" t="s">
        <v>201</v>
      </c>
      <c r="D17" s="19" t="s">
        <v>1609</v>
      </c>
      <c r="E17" s="19" t="s">
        <v>1610</v>
      </c>
      <c r="F17" s="19" t="s">
        <v>1601</v>
      </c>
      <c r="G17" s="19" t="s">
        <v>8</v>
      </c>
      <c r="H17" s="19">
        <v>1.0</v>
      </c>
      <c r="I17" s="19" t="s">
        <v>1611</v>
      </c>
      <c r="J17" s="3"/>
      <c r="K17" s="3"/>
      <c r="L17" s="3"/>
      <c r="M17" s="3"/>
      <c r="N17" s="3"/>
      <c r="O17" s="3"/>
      <c r="P17" s="3"/>
      <c r="Q17" s="3"/>
      <c r="R17" s="3"/>
      <c r="S17" s="3"/>
      <c r="T17" s="3"/>
      <c r="U17" s="3"/>
      <c r="V17" s="3"/>
      <c r="W17" s="3"/>
      <c r="X17" s="3"/>
      <c r="Y17" s="3"/>
      <c r="Z17" s="3"/>
      <c r="AA17" s="3"/>
      <c r="AB17" s="3"/>
    </row>
  </sheetData>
  <mergeCells count="9">
    <mergeCell ref="B13:I13"/>
    <mergeCell ref="B14:B17"/>
    <mergeCell ref="B1:I1"/>
    <mergeCell ref="B2:I2"/>
    <mergeCell ref="B3:I3"/>
    <mergeCell ref="C4:E4"/>
    <mergeCell ref="F4:I4"/>
    <mergeCell ref="C5:E10"/>
    <mergeCell ref="F5:I10"/>
  </mergeCells>
  <dataValidations>
    <dataValidation type="list" allowBlank="1" showErrorMessage="1" sqref="G14:G17">
      <formula1>'SEC-ST'!$A$6:$A$8</formula1>
    </dataValidation>
    <dataValidation type="list" allowBlank="1" showErrorMessage="1" sqref="C14:C17">
      <formula1>"Positive,Negative,UI/UX"</formula1>
    </dataValidation>
  </dataValidations>
  <drawing r:id="rId1"/>
</worksheet>
</file>